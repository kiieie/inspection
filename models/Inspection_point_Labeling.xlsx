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_point" sheetId="1" state="visible" r:id="rId2"/>
    <sheet name="Old_New_Label" sheetId="2" state="visible" r:id="rId3"/>
    <sheet name="Pivot Table_inspection_point_2" sheetId="3" state="visible" r:id="rId4"/>
    <sheet name="Sheet5" sheetId="4" state="visible" r:id="rId5"/>
    <sheet name="Matching_Table" sheetId="5" state="visible" r:id="rId6"/>
  </sheets>
  <definedNames>
    <definedName function="false" hidden="true" localSheetId="0" name="_xlnm._FilterDatabase" vbProcedure="false">inspection_point!$A$1:$Y$931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<sst xmlns="http://schemas.openxmlformats.org/spreadsheetml/2006/main" count="9470" uniqueCount="902">
  <si>
    <t xml:space="preserve">site</t>
  </si>
  <si>
    <t xml:space="preserve">mission_name</t>
  </si>
  <si>
    <t xml:space="preserve">inspection_name</t>
  </si>
  <si>
    <t xml:space="preserve">facility_1</t>
  </si>
  <si>
    <t xml:space="preserve">facility_2</t>
  </si>
  <si>
    <t xml:space="preserve">inspection_point_type</t>
  </si>
  <si>
    <t xml:space="preserve">model_type</t>
  </si>
  <si>
    <t xml:space="preserve">model_ver</t>
  </si>
  <si>
    <t xml:space="preserve">hyperparameter</t>
  </si>
  <si>
    <t xml:space="preserve">min_value</t>
  </si>
  <si>
    <t xml:space="preserve">max_value</t>
  </si>
  <si>
    <t xml:space="preserve">normal_min_value</t>
  </si>
  <si>
    <t xml:space="preserve">normal_max_value</t>
  </si>
  <si>
    <t xml:space="preserve">comment</t>
  </si>
  <si>
    <t xml:space="preserve">report_items</t>
  </si>
  <si>
    <t xml:space="preserve">inspection_details</t>
  </si>
  <si>
    <t xml:space="preserve">inspection_period</t>
  </si>
  <si>
    <t xml:space="preserve">insepction_cell_number</t>
  </si>
  <si>
    <t xml:space="preserve">query</t>
  </si>
  <si>
    <t xml:space="preserve">sort_key</t>
  </si>
  <si>
    <t xml:space="preserve">datacenter_daejeon</t>
  </si>
  <si>
    <t xml:space="preserve">battery_room</t>
  </si>
  <si>
    <t xml:space="preserve">Spot Cam - PTZ - 1 spot-cam-ptz.jpg</t>
  </si>
  <si>
    <t xml:space="preserve">fire_extinguisher</t>
  </si>
  <si>
    <t xml:space="preserve">ETC_Fire_Extinguisher</t>
  </si>
  <si>
    <t xml:space="preserve">fire_extinguisher_location</t>
  </si>
  <si>
    <t xml:space="preserve">소화기 점검일지</t>
  </si>
  <si>
    <r>
      <rPr>
        <sz val="10"/>
        <color rgb="FF000000"/>
        <rFont val="맑은 고딕"/>
        <family val="3"/>
        <charset val="1"/>
      </rPr>
      <t xml:space="preserve">소화기별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맑은 고딕"/>
        <family val="3"/>
        <charset val="1"/>
      </rPr>
      <t xml:space="preserve">적정거리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맑은 고딕"/>
        <family val="3"/>
        <charset val="1"/>
      </rPr>
      <t xml:space="preserve">위치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맑은 고딕"/>
        <family val="3"/>
        <charset val="1"/>
      </rPr>
      <t xml:space="preserve">여부</t>
    </r>
    <r>
      <rPr>
        <sz val="10"/>
        <color rgb="FF000000"/>
        <rFont val="Arial"/>
        <family val="2"/>
        <charset val="1"/>
      </rPr>
      <t xml:space="preserve">, </t>
    </r>
  </si>
  <si>
    <r>
      <rPr>
        <sz val="10"/>
        <color rgb="FF000000"/>
        <rFont val="Arial"/>
        <family val="2"/>
        <charset val="1"/>
      </rPr>
      <t xml:space="preserve">{'</t>
    </r>
    <r>
      <rPr>
        <sz val="10"/>
        <color rgb="FF000000"/>
        <rFont val="맑은 고딕"/>
        <family val="2"/>
        <charset val="1"/>
      </rPr>
      <t xml:space="preserve">소화기 점검일지</t>
    </r>
    <r>
      <rPr>
        <sz val="10"/>
        <color rgb="FF000000"/>
        <rFont val="Arial"/>
        <family val="2"/>
        <charset val="1"/>
      </rPr>
      <t xml:space="preserve">':'E15','</t>
    </r>
    <r>
      <rPr>
        <sz val="10"/>
        <color rgb="FF000000"/>
        <rFont val="맑은 고딕"/>
        <family val="2"/>
        <charset val="1"/>
      </rPr>
      <t xml:space="preserve">소화기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맑은 고딕"/>
        <family val="2"/>
        <charset val="1"/>
      </rPr>
      <t xml:space="preserve">점검일지</t>
    </r>
    <r>
      <rPr>
        <sz val="10"/>
        <color rgb="FF000000"/>
        <rFont val="Arial"/>
        <family val="2"/>
        <charset val="1"/>
      </rPr>
      <t xml:space="preserve">''E16'}</t>
    </r>
  </si>
  <si>
    <t xml:space="preserve">적정 위치 배치 여부</t>
  </si>
  <si>
    <t xml:space="preserve">sign</t>
  </si>
  <si>
    <t xml:space="preserve">ETC_Fire_Hydrant-sign</t>
  </si>
  <si>
    <r>
      <rPr>
        <sz val="10"/>
        <color rgb="FF000000"/>
        <rFont val="Noto Sans CJK SC"/>
        <family val="2"/>
        <charset val="1"/>
      </rPr>
      <t xml:space="preserve">지시압력계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압력상태</t>
    </r>
    <r>
      <rPr>
        <sz val="10"/>
        <color rgb="FF000000"/>
        <rFont val="Arial"/>
        <family val="2"/>
        <charset val="1"/>
      </rPr>
      <t xml:space="preserve">) </t>
    </r>
    <r>
      <rPr>
        <sz val="10"/>
        <color rgb="FF000000"/>
        <rFont val="Noto Sans CJK SC"/>
        <family val="2"/>
        <charset val="1"/>
      </rPr>
      <t xml:space="preserve">확인</t>
    </r>
  </si>
  <si>
    <t xml:space="preserve">Spot Cam - PTZ - 10 spot-cam-ptz.jpg</t>
  </si>
  <si>
    <t xml:space="preserve">left</t>
  </si>
  <si>
    <t xml:space="preserve">AG_Pressure_Fire-extinguisher</t>
  </si>
  <si>
    <t xml:space="preserve">analog_gauge</t>
  </si>
  <si>
    <t xml:space="preserve">10^-1 Mpa, normal range is not accurate</t>
  </si>
  <si>
    <t xml:space="preserve">E13</t>
  </si>
  <si>
    <t xml:space="preserve">right</t>
  </si>
  <si>
    <t xml:space="preserve">Spot Cam - PTZ - 11 spot-cam-ptz.jpg</t>
  </si>
  <si>
    <t xml:space="preserve">temperature_and_humidity_chamber</t>
  </si>
  <si>
    <t xml:space="preserve">air-conditioner</t>
  </si>
  <si>
    <t xml:space="preserve">DG_Air-Conditioner</t>
  </si>
  <si>
    <t xml:space="preserve">digital_gauge</t>
  </si>
  <si>
    <r>
      <rPr>
        <sz val="10"/>
        <color rgb="FF000000"/>
        <rFont val="Noto Sans CJK SC"/>
        <family val="2"/>
        <charset val="1"/>
      </rPr>
      <t xml:space="preserve">일일설비 순회점검 일지 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주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야간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</si>
  <si>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온도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습도</t>
    </r>
  </si>
  <si>
    <r>
      <rPr>
        <sz val="10"/>
        <color rgb="FF000000"/>
        <rFont val="Noto Sans CJK SC"/>
        <family val="2"/>
        <charset val="1"/>
      </rPr>
      <t xml:space="preserve">일 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회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</si>
  <si>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숫자만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숫자</t>
    </r>
    <r>
      <rPr>
        <sz val="10"/>
        <color rgb="FF000000"/>
        <rFont val="Arial"/>
        <family val="0"/>
        <charset val="1"/>
      </rPr>
      <t xml:space="preserve">:</t>
    </r>
  </si>
  <si>
    <t xml:space="preserve">Spot Cam - PTZ - 12 spot-cam-ptz.jpg</t>
  </si>
  <si>
    <t xml:space="preserve">Spot Cam - PTZ - 13 spot-cam-ptz.jpg</t>
  </si>
  <si>
    <t xml:space="preserve">Spot Cam - PTZ - 14 spot-cam-ptz.jpg</t>
  </si>
  <si>
    <t xml:space="preserve">Spot Cam - PTZ - 15 spot-cam-ptz.jpg</t>
  </si>
  <si>
    <r>
      <rPr>
        <sz val="10"/>
        <color rgb="FF000000"/>
        <rFont val="Noto Sans CJK SC"/>
        <family val="2"/>
        <charset val="1"/>
      </rPr>
      <t xml:space="preserve">소화기별 적정거리 위치 여부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적정 위치 배치 여부</t>
    </r>
  </si>
  <si>
    <t xml:space="preserve">['E15','E16'}</t>
  </si>
  <si>
    <t xml:space="preserve">Spot Cam - PTZ - 16 spot-cam-ptz.jpg</t>
  </si>
  <si>
    <t xml:space="preserve">Spot Cam - PTZ - 17 spot-cam-ptz.jpg</t>
  </si>
  <si>
    <t xml:space="preserve">LFB_2B(BCP)</t>
  </si>
  <si>
    <t xml:space="preserve">BMS</t>
  </si>
  <si>
    <t xml:space="preserve">DG_BMS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</si>
  <si>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우측상단 현재 정상 운영중이면 정상 아니면 비정상 </t>
    </r>
    <r>
      <rPr>
        <sz val="10"/>
        <color rgb="FF000000"/>
        <rFont val="Arial"/>
        <family val="0"/>
        <charset val="1"/>
      </rPr>
      <t xml:space="preserve">: (</t>
    </r>
    <r>
      <rPr>
        <sz val="10"/>
        <color rgb="FF000000"/>
        <rFont val="Noto Sans CJK SC"/>
        <family val="2"/>
        <charset val="1"/>
      </rPr>
      <t xml:space="preserve">정상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비정상</t>
    </r>
    <r>
      <rPr>
        <sz val="10"/>
        <color rgb="FF000000"/>
        <rFont val="Arial"/>
        <family val="0"/>
        <charset val="1"/>
      </rPr>
      <t xml:space="preserve">)</t>
    </r>
  </si>
  <si>
    <t xml:space="preserve">Spot Cam - PTZ - 2 spot-cam-ptz.jpg</t>
  </si>
  <si>
    <t xml:space="preserve">Spot Cam - PTZ - 3 spot-cam-ptz.jpg</t>
  </si>
  <si>
    <t xml:space="preserve">Thermo-hygro</t>
  </si>
  <si>
    <t xml:space="preserve">AG_Thermo-hygro</t>
  </si>
  <si>
    <t xml:space="preserve">temperature</t>
  </si>
  <si>
    <t xml:space="preserve">humidity</t>
  </si>
  <si>
    <t xml:space="preserve">Spot Cam - PTZ - 4 spot-cam-ptz.jpg</t>
  </si>
  <si>
    <t xml:space="preserve">Spot Cam - PTZ - 5 spot-cam-ptz.jpg</t>
  </si>
  <si>
    <t xml:space="preserve">Spot Cam - PTZ - 6 spot-cam-ptz.jpg</t>
  </si>
  <si>
    <t xml:space="preserve">Spot Cam - PTZ - 7 spot-cam-ptz.jpg</t>
  </si>
  <si>
    <t xml:space="preserve">Spot Cam - PTZ - 8 spot-cam-ptz.jpg</t>
  </si>
  <si>
    <t xml:space="preserve">{'E15','E16'}</t>
  </si>
  <si>
    <t xml:space="preserve">Spot Cam - PTZ - 9 spot-cam-ptz.jpg</t>
  </si>
  <si>
    <t xml:space="preserve">electrical_room_section2</t>
  </si>
  <si>
    <t xml:space="preserve">HV-3(CTTS4)</t>
  </si>
  <si>
    <t xml:space="preserve">Open</t>
  </si>
  <si>
    <t xml:space="preserve">LED_Green_off</t>
  </si>
  <si>
    <t xml:space="preserve">LED</t>
  </si>
  <si>
    <t xml:space="preserve">수변전설비 점검일지</t>
  </si>
  <si>
    <r>
      <rPr>
        <sz val="10"/>
        <color rgb="FF000000"/>
        <rFont val="Noto Sans CJK SC"/>
        <family val="2"/>
        <charset val="1"/>
      </rPr>
      <t xml:space="preserve">계기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지팜</t>
    </r>
    <r>
      <rPr>
        <sz val="10"/>
        <color rgb="FF000000"/>
        <rFont val="Arial"/>
        <family val="2"/>
        <charset val="1"/>
      </rPr>
      <t xml:space="preserve">, ELD</t>
    </r>
    <r>
      <rPr>
        <sz val="10"/>
        <color rgb="FF000000"/>
        <rFont val="Noto Sans CJK SC"/>
        <family val="2"/>
        <charset val="1"/>
      </rPr>
      <t xml:space="preserve">등</t>
    </r>
    <r>
      <rPr>
        <sz val="10"/>
        <color rgb="FF000000"/>
        <rFont val="Arial"/>
        <family val="2"/>
        <charset val="1"/>
      </rPr>
      <t xml:space="preserve">) </t>
    </r>
    <r>
      <rPr>
        <sz val="10"/>
        <color rgb="FF000000"/>
        <rFont val="Noto Sans CJK SC"/>
        <family val="2"/>
        <charset val="1"/>
      </rPr>
      <t xml:space="preserve">및 램프는 정상인가</t>
    </r>
    <r>
      <rPr>
        <sz val="10"/>
        <color rgb="FF000000"/>
        <rFont val="Arial"/>
        <family val="2"/>
        <charset val="1"/>
      </rPr>
      <t xml:space="preserve">?</t>
    </r>
  </si>
  <si>
    <r>
      <rPr>
        <sz val="10"/>
        <color rgb="FF000000"/>
        <rFont val="Noto Sans CJK SC"/>
        <family val="2"/>
        <charset val="1"/>
      </rPr>
      <t xml:space="preserve">일 </t>
    </r>
    <r>
      <rPr>
        <sz val="10"/>
        <color rgb="FF000000"/>
        <rFont val="Arial"/>
        <family val="2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회</t>
    </r>
  </si>
  <si>
    <t xml:space="preserve">AB50</t>
  </si>
  <si>
    <t xml:space="preserve">OCR_panel</t>
  </si>
  <si>
    <t xml:space="preserve">LED_Panel_off</t>
  </si>
  <si>
    <t xml:space="preserve">OCGR_panel</t>
  </si>
  <si>
    <t xml:space="preserve">Spare_panel</t>
  </si>
  <si>
    <t xml:space="preserve">Close</t>
  </si>
  <si>
    <t xml:space="preserve">LED_Red-dot_on</t>
  </si>
  <si>
    <t xml:space="preserve">Local-GIPAM_switch</t>
  </si>
  <si>
    <t xml:space="preserve">Sw_Nobe-dot_Left</t>
  </si>
  <si>
    <t xml:space="preserve">HV-5(CTTS3)</t>
  </si>
  <si>
    <t xml:space="preserve">PD</t>
  </si>
  <si>
    <t xml:space="preserve">LED_PD_on</t>
  </si>
  <si>
    <t xml:space="preserve">LED_Green-dot_on</t>
  </si>
  <si>
    <t xml:space="preserve">LED_Red_off</t>
  </si>
  <si>
    <t xml:space="preserve">Local-Remote_switch</t>
  </si>
  <si>
    <t xml:space="preserve">HV-5(CTTS4)</t>
  </si>
  <si>
    <t xml:space="preserve">HVC-2 </t>
  </si>
  <si>
    <t xml:space="preserve">NVS_panel</t>
  </si>
  <si>
    <t xml:space="preserve">FUSE_panel</t>
  </si>
  <si>
    <t xml:space="preserve">Sw_Nobe_Left</t>
  </si>
  <si>
    <t xml:space="preserve">switch</t>
  </si>
  <si>
    <t xml:space="preserve">Off-R-S-T_switch</t>
  </si>
  <si>
    <t xml:space="preserve">Sw_Round-dot_Left</t>
  </si>
  <si>
    <t xml:space="preserve">Digital_multi_function_relay(OCR/OCGR)</t>
  </si>
  <si>
    <t xml:space="preserve">LED_DMFR_run-on</t>
  </si>
  <si>
    <t xml:space="preserve">HV-2(CTTS1_3)</t>
  </si>
  <si>
    <t xml:space="preserve">Spot Cam - PTZ - 18 spot-cam-ptz.jpg</t>
  </si>
  <si>
    <t xml:space="preserve">Spot Cam - PTZ - 20 spot-cam-ptz.jpg</t>
  </si>
  <si>
    <t xml:space="preserve">HV-2(CTTS2_4)</t>
  </si>
  <si>
    <t xml:space="preserve">Spot Cam - PTZ - 21 spot-cam-ptz.jpg</t>
  </si>
  <si>
    <t xml:space="preserve">HV-4(CTTS1)</t>
  </si>
  <si>
    <t xml:space="preserve">Spot Cam - PTZ - 22 spot-cam-ptz.jpg</t>
  </si>
  <si>
    <t xml:space="preserve">Spot Cam - PTZ - 23 spot-cam-ptz.jpg</t>
  </si>
  <si>
    <t xml:space="preserve">HV-4(CTTS2)</t>
  </si>
  <si>
    <t xml:space="preserve">Spot Cam - PTZ - 24 spot-cam-ptz.jpg</t>
  </si>
  <si>
    <t xml:space="preserve">HV-1(CTTS1)</t>
  </si>
  <si>
    <t xml:space="preserve">Spot Cam - PTZ - 25 spot-cam-ptz.jpg</t>
  </si>
  <si>
    <t xml:space="preserve">Spot Cam - PTZ - 27 spot-cam-ptz.jpg</t>
  </si>
  <si>
    <t xml:space="preserve">HV-1(CTTS2)</t>
  </si>
  <si>
    <t xml:space="preserve">Spot Cam - PTZ - 28 spot-cam-ptz.jpg</t>
  </si>
  <si>
    <t xml:space="preserve">HVC-1</t>
  </si>
  <si>
    <t xml:space="preserve">Ammeter03</t>
  </si>
  <si>
    <t xml:space="preserve">AG_Ammeter03_A-0-100</t>
  </si>
  <si>
    <t xml:space="preserve">Spot Cam - PTZ - 29 spot-cam-ptz.jpg</t>
  </si>
  <si>
    <t xml:space="preserve">HVC-3</t>
  </si>
  <si>
    <t xml:space="preserve">Spot Cam - PTZ - 30 spot-cam-ptz.jpg</t>
  </si>
  <si>
    <t xml:space="preserve">Spot Cam - PTZ - 31 spot-cam-ptz.jpg</t>
  </si>
  <si>
    <t xml:space="preserve">Spot Cam - PTZ - 32 spot-cam-ptz.jpg</t>
  </si>
  <si>
    <t xml:space="preserve">HV-CTTS3</t>
  </si>
  <si>
    <t xml:space="preserve">Spot Cam - PTZ - 33 spot-cam-ptz.jpg</t>
  </si>
  <si>
    <t xml:space="preserve">Gen_VCB_open</t>
  </si>
  <si>
    <t xml:space="preserve">KEPCO_VCB_open</t>
  </si>
  <si>
    <t xml:space="preserve">KEPCO_VCB_close</t>
  </si>
  <si>
    <t xml:space="preserve">Gen_VCB_close</t>
  </si>
  <si>
    <t xml:space="preserve">Manual-CTTS_switch</t>
  </si>
  <si>
    <t xml:space="preserve">Sw_Nobe-dot_Right</t>
  </si>
  <si>
    <t xml:space="preserve">Spot Cam - PTZ - 34 spot-cam-ptz.jpg</t>
  </si>
  <si>
    <t xml:space="preserve">HV-3A</t>
  </si>
  <si>
    <t xml:space="preserve">Spot Cam - PTZ - 35 spot-cam-ptz.jpg</t>
  </si>
  <si>
    <t xml:space="preserve">Spot Cam - PTZ - 36 spot-cam-ptz.jpg</t>
  </si>
  <si>
    <t xml:space="preserve">TR-3A</t>
  </si>
  <si>
    <t xml:space="preserve">DG_TR-temp</t>
  </si>
  <si>
    <t xml:space="preserve">온도 측정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</si>
  <si>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적색숫자</t>
    </r>
    <r>
      <rPr>
        <sz val="10"/>
        <color rgb="FF000000"/>
        <rFont val="Arial"/>
        <family val="0"/>
        <charset val="1"/>
      </rPr>
      <t xml:space="preserve">. 1) PEAK: , 2) Temp. Controller: </t>
    </r>
  </si>
  <si>
    <t xml:space="preserve">Spot Cam - PTZ - 37 spot-cam-ptz.jpg</t>
  </si>
  <si>
    <t xml:space="preserve">변압기 점검기록표</t>
  </si>
  <si>
    <t xml:space="preserve">부분방전</t>
  </si>
  <si>
    <t xml:space="preserve">Spot Cam - PTZ - 38 spot-cam-ptz.jpg</t>
  </si>
  <si>
    <t xml:space="preserve">LV-3A</t>
  </si>
  <si>
    <t xml:space="preserve">GIMAC</t>
  </si>
  <si>
    <t xml:space="preserve">DG_Digital-Integrated-Meter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</si>
  <si>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1) Va: , 2) Ia: ,3) P: ,4) WH:</t>
    </r>
  </si>
  <si>
    <t xml:space="preserve">51G_Alarm_panel</t>
  </si>
  <si>
    <t xml:space="preserve">Spot Cam - PTZ - 39 spot-cam-ptz.jpg</t>
  </si>
  <si>
    <t xml:space="preserve">condenser1_off</t>
  </si>
  <si>
    <t xml:space="preserve">condenser2_off</t>
  </si>
  <si>
    <t xml:space="preserve">condenser1_on</t>
  </si>
  <si>
    <t xml:space="preserve">condenser2_on</t>
  </si>
  <si>
    <t xml:space="preserve">condenser1_manual-auto_switch</t>
  </si>
  <si>
    <t xml:space="preserve">Sw_Nobe_Right</t>
  </si>
  <si>
    <t xml:space="preserve">condenser2_manual-auto_switch</t>
  </si>
  <si>
    <t xml:space="preserve">Spot Cam - PTZ - 40 spot-cam-ptz.jpg</t>
  </si>
  <si>
    <t xml:space="preserve">Digital_multi_function_relay(51G)</t>
  </si>
  <si>
    <t xml:space="preserve">Spot Cam - PTZ - 41 spot-cam-ptz.jpg</t>
  </si>
  <si>
    <t xml:space="preserve">HV-5A</t>
  </si>
  <si>
    <t xml:space="preserve">Spot Cam - PTZ - 42 spot-cam-ptz.jpg</t>
  </si>
  <si>
    <t xml:space="preserve">Spot Cam - PTZ - 43 spot-cam-ptz.jpg</t>
  </si>
  <si>
    <t xml:space="preserve">TR-5A</t>
  </si>
  <si>
    <t xml:space="preserve">Spot Cam - PTZ - 44 spot-cam-ptz.jpg</t>
  </si>
  <si>
    <t xml:space="preserve">Spot Cam - PTZ - 45 spot-cam-ptz.jpg</t>
  </si>
  <si>
    <t xml:space="preserve">LV-5A</t>
  </si>
  <si>
    <t xml:space="preserve">Spot Cam - PTZ - 46 spot-cam-ptz.jpg</t>
  </si>
  <si>
    <t xml:space="preserve">Spot Cam - PTZ - 47 spot-cam-ptz.jpg</t>
  </si>
  <si>
    <t xml:space="preserve">TIE_ACB_Open</t>
  </si>
  <si>
    <t xml:space="preserve">TIE_ACB_Close</t>
  </si>
  <si>
    <t xml:space="preserve">Spot Cam - PTZ - 48 spot-cam-ptz.jpg</t>
  </si>
  <si>
    <t xml:space="preserve">Spot Cam - PTZ - 49 spot-cam-ptz.jpg</t>
  </si>
  <si>
    <t xml:space="preserve">LV-5A-1</t>
  </si>
  <si>
    <t xml:space="preserve">Fuel_battery_C/P_panel</t>
  </si>
  <si>
    <t xml:space="preserve">LED_Panel-green-dot_off</t>
  </si>
  <si>
    <t xml:space="preserve">LED_Panel-red-dot_on</t>
  </si>
  <si>
    <t xml:space="preserve">Solar_power_panel</t>
  </si>
  <si>
    <t xml:space="preserve">P-ELEV3_panel</t>
  </si>
  <si>
    <t xml:space="preserve">P-ELEV2_panel</t>
  </si>
  <si>
    <t xml:space="preserve">P-ELEV1_panel</t>
  </si>
  <si>
    <t xml:space="preserve">MCC-G_panel</t>
  </si>
  <si>
    <t xml:space="preserve">MCC-F_panel</t>
  </si>
  <si>
    <t xml:space="preserve">MCC-E_panel</t>
  </si>
  <si>
    <t xml:space="preserve">LV/R_panel</t>
  </si>
  <si>
    <t xml:space="preserve">Heating_wire_contol_panel</t>
  </si>
  <si>
    <t xml:space="preserve">Generator-MCCB_panel</t>
  </si>
  <si>
    <t xml:space="preserve">1F_heating_wire_contol_panel</t>
  </si>
  <si>
    <t xml:space="preserve">Spot Cam - PTZ - 50 spot-cam-ptz.jpg</t>
  </si>
  <si>
    <t xml:space="preserve">Spot Cam - PTZ - 51 spot-cam-ptz.jpg</t>
  </si>
  <si>
    <t xml:space="preserve">ELD-1</t>
  </si>
  <si>
    <t xml:space="preserve">LED_DELD_PAB-on</t>
  </si>
  <si>
    <t xml:space="preserve">ELD-2</t>
  </si>
  <si>
    <t xml:space="preserve">Spot Cam - PTZ - 52 spot-cam-ptz.jpg</t>
  </si>
  <si>
    <t xml:space="preserve">LV-5A-2 </t>
  </si>
  <si>
    <t xml:space="preserve">MCP-N1-B_panel</t>
  </si>
  <si>
    <t xml:space="preserve">MCP-CT1-D_panel</t>
  </si>
  <si>
    <t xml:space="preserve">MCP-CT1-C_panel</t>
  </si>
  <si>
    <t xml:space="preserve">MCP-CT1-B_panel</t>
  </si>
  <si>
    <t xml:space="preserve">P-EHP-R3_panel</t>
  </si>
  <si>
    <t xml:space="preserve">P-EHP-R2_panel</t>
  </si>
  <si>
    <t xml:space="preserve">MCP-N1-A_panel</t>
  </si>
  <si>
    <t xml:space="preserve">MCP-GP-2_panel</t>
  </si>
  <si>
    <t xml:space="preserve">MCP-GP-1_panel</t>
  </si>
  <si>
    <t xml:space="preserve">MCP-CT2-A_panel</t>
  </si>
  <si>
    <t xml:space="preserve">MCP-CT1-A_panel</t>
  </si>
  <si>
    <t xml:space="preserve">Spot Cam - PTZ - 53 spot-cam-ptz.jpg</t>
  </si>
  <si>
    <t xml:space="preserve">Spot Cam - PTZ - 54 spot-cam-ptz.jpg</t>
  </si>
  <si>
    <t xml:space="preserve">Spot Cam - PTZ - 55 spot-cam-ptz.jpg</t>
  </si>
  <si>
    <t xml:space="preserve">LV-R</t>
  </si>
  <si>
    <t xml:space="preserve">충전기 본체 점검</t>
  </si>
  <si>
    <t xml:space="preserve">차단기 상태 및 이상유무</t>
  </si>
  <si>
    <t xml:space="preserve">Spot Cam - PTZ - 56 spot-cam-ptz.jpg</t>
  </si>
  <si>
    <t xml:space="preserve">GiMAC-DC</t>
  </si>
  <si>
    <t xml:space="preserve">DG_GIMAC-DC</t>
  </si>
  <si>
    <r>
      <rPr>
        <sz val="10"/>
        <color rgb="FF000000"/>
        <rFont val="Noto Sans CJK SC"/>
        <family val="2"/>
        <charset val="1"/>
      </rPr>
      <t xml:space="preserve">입․출력 전압 및 전류 측정 점검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전류계등 계기류 동작상태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</si>
  <si>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숫자만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윗줄 숫자</t>
    </r>
    <r>
      <rPr>
        <sz val="10"/>
        <color rgb="FF000000"/>
        <rFont val="Arial"/>
        <family val="0"/>
        <charset val="1"/>
      </rPr>
      <t xml:space="preserve">: 2) </t>
    </r>
    <r>
      <rPr>
        <sz val="10"/>
        <color rgb="FF000000"/>
        <rFont val="Noto Sans CJK SC"/>
        <family val="2"/>
        <charset val="1"/>
      </rPr>
      <t xml:space="preserve">중간줄 숫자</t>
    </r>
    <r>
      <rPr>
        <sz val="10"/>
        <color rgb="FF000000"/>
        <rFont val="Arial"/>
        <family val="0"/>
        <charset val="1"/>
      </rPr>
      <t xml:space="preserve">: 3) </t>
    </r>
    <r>
      <rPr>
        <sz val="10"/>
        <color rgb="FF000000"/>
        <rFont val="Noto Sans CJK SC"/>
        <family val="2"/>
        <charset val="1"/>
      </rPr>
      <t xml:space="preserve">아래줄 숫자</t>
    </r>
    <r>
      <rPr>
        <sz val="10"/>
        <color rgb="FF000000"/>
        <rFont val="Arial"/>
        <family val="0"/>
        <charset val="1"/>
      </rPr>
      <t xml:space="preserve">:</t>
    </r>
  </si>
  <si>
    <t xml:space="preserve">Spot Cam - PTZ - 57 spot-cam-ptz.jpg</t>
  </si>
  <si>
    <t xml:space="preserve">Off</t>
  </si>
  <si>
    <r>
      <rPr>
        <sz val="10"/>
        <color rgb="FF000000"/>
        <rFont val="Noto Sans CJK SC"/>
        <family val="2"/>
        <charset val="1"/>
      </rPr>
      <t xml:space="preserve">각종 표시용</t>
    </r>
    <r>
      <rPr>
        <sz val="10"/>
        <color rgb="FF000000"/>
        <rFont val="Arial"/>
        <family val="2"/>
        <charset val="1"/>
      </rPr>
      <t xml:space="preserve">LAMP</t>
    </r>
    <r>
      <rPr>
        <sz val="10"/>
        <color rgb="FF000000"/>
        <rFont val="Noto Sans CJK SC"/>
        <family val="2"/>
        <charset val="1"/>
      </rPr>
      <t xml:space="preserve">동작상태</t>
    </r>
  </si>
  <si>
    <t xml:space="preserve">On</t>
  </si>
  <si>
    <t xml:space="preserve">electrical_room_DC_light_switch_manual-auto_switch</t>
  </si>
  <si>
    <t xml:space="preserve">Spot Cam - PTZ - 58 spot-cam-ptz.jpg</t>
  </si>
  <si>
    <t xml:space="preserve">Spot Cam - PTZ - 59 spot-cam-ptz.jpg</t>
  </si>
  <si>
    <t xml:space="preserve">Spot Cam - PTZ - 60 spot-cam-ptz.jpg</t>
  </si>
  <si>
    <t xml:space="preserve">Spot Cam - PTZ - 61 spot-cam-ptz.jpg</t>
  </si>
  <si>
    <t xml:space="preserve">Spot Cam - PTZ - 62 spot-cam-ptz.jpg</t>
  </si>
  <si>
    <t xml:space="preserve">HV-3(CTTS3)</t>
  </si>
  <si>
    <t xml:space="preserve">electrical_room</t>
  </si>
  <si>
    <t xml:space="preserve">HV-CTTS1</t>
  </si>
  <si>
    <t xml:space="preserve">LV-1B-1</t>
  </si>
  <si>
    <t xml:space="preserve">LV-5B-2</t>
  </si>
  <si>
    <t xml:space="preserve">MCT-CT1-D_panel</t>
  </si>
  <si>
    <t xml:space="preserve">MCT-CT1-C_panel</t>
  </si>
  <si>
    <t xml:space="preserve">MCT-CT1-B_panel</t>
  </si>
  <si>
    <r>
      <rPr>
        <sz val="10"/>
        <color rgb="FF000000"/>
        <rFont val="Noto Sans CJK SC"/>
        <family val="2"/>
        <charset val="1"/>
      </rPr>
      <t xml:space="preserve">저압 전기설비 점검기록표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분기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반기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연차</t>
    </r>
    <r>
      <rPr>
        <sz val="10"/>
        <color rgb="FF000000"/>
        <rFont val="Arial"/>
        <family val="2"/>
        <charset val="1"/>
      </rPr>
      <t xml:space="preserve">)</t>
    </r>
  </si>
  <si>
    <t xml:space="preserve">정상적인 점등 여부 확인</t>
  </si>
  <si>
    <r>
      <rPr>
        <sz val="10"/>
        <color rgb="FF000000"/>
        <rFont val="Noto Sans CJK SC"/>
        <family val="2"/>
        <charset val="1"/>
      </rPr>
      <t xml:space="preserve">분기별 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회</t>
    </r>
  </si>
  <si>
    <r>
      <rPr>
        <sz val="10"/>
        <color rgb="FF000000"/>
        <rFont val="Noto Sans CJK SC"/>
        <family val="2"/>
        <charset val="1"/>
      </rPr>
      <t xml:space="preserve">소방시설와관점검표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수변전설비 점검일지</t>
    </r>
  </si>
  <si>
    <r>
      <rPr>
        <sz val="10"/>
        <color rgb="FF000000"/>
        <rFont val="Noto Sans CJK SC"/>
        <family val="2"/>
        <charset val="1"/>
      </rPr>
      <t xml:space="preserve">정상적인 점등 여부 확인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계기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지팜</t>
    </r>
    <r>
      <rPr>
        <sz val="10"/>
        <color rgb="FF000000"/>
        <rFont val="Arial"/>
        <family val="2"/>
        <charset val="1"/>
      </rPr>
      <t xml:space="preserve">, ELD</t>
    </r>
    <r>
      <rPr>
        <sz val="10"/>
        <color rgb="FF000000"/>
        <rFont val="Noto Sans CJK SC"/>
        <family val="2"/>
        <charset val="1"/>
      </rPr>
      <t xml:space="preserve">등</t>
    </r>
    <r>
      <rPr>
        <sz val="10"/>
        <color rgb="FF000000"/>
        <rFont val="Arial"/>
        <family val="2"/>
        <charset val="1"/>
      </rPr>
      <t xml:space="preserve">) </t>
    </r>
    <r>
      <rPr>
        <sz val="10"/>
        <color rgb="FF000000"/>
        <rFont val="Noto Sans CJK SC"/>
        <family val="2"/>
        <charset val="1"/>
      </rPr>
      <t xml:space="preserve">및 램프는 정상인가</t>
    </r>
    <r>
      <rPr>
        <sz val="10"/>
        <color rgb="FF000000"/>
        <rFont val="Arial"/>
        <family val="2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</si>
  <si>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일 </t>
    </r>
    <r>
      <rPr>
        <sz val="10"/>
        <color rgb="FF000000"/>
        <rFont val="Arial"/>
        <family val="2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회</t>
    </r>
  </si>
  <si>
    <t xml:space="preserve">LV-5B-1</t>
  </si>
  <si>
    <t xml:space="preserve">UPS#1_panel</t>
  </si>
  <si>
    <t xml:space="preserve">P-EHP-R1_panel</t>
  </si>
  <si>
    <t xml:space="preserve">L-E_panel</t>
  </si>
  <si>
    <t xml:space="preserve">L-B_panel</t>
  </si>
  <si>
    <t xml:space="preserve">L-4A_panel</t>
  </si>
  <si>
    <t xml:space="preserve">L-4_panel</t>
  </si>
  <si>
    <t xml:space="preserve">L-3A_panel</t>
  </si>
  <si>
    <t xml:space="preserve">L-3_panel</t>
  </si>
  <si>
    <t xml:space="preserve">L-2A_panel</t>
  </si>
  <si>
    <t xml:space="preserve">L-2_panel</t>
  </si>
  <si>
    <t xml:space="preserve">L-1A_panel</t>
  </si>
  <si>
    <t xml:space="preserve">L-1_panel</t>
  </si>
  <si>
    <t xml:space="preserve">Generator_MCCB_panel</t>
  </si>
  <si>
    <t xml:space="preserve">ESS(PCS)_panel</t>
  </si>
  <si>
    <t xml:space="preserve">Spot Cam - PTZ - 19 spot-cam-ptz.jpg</t>
  </si>
  <si>
    <t xml:space="preserve">LV-5B</t>
  </si>
  <si>
    <t xml:space="preserve">32P_panel</t>
  </si>
  <si>
    <t xml:space="preserve">HV-1A</t>
  </si>
  <si>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전력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전력량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역률 등 측정</t>
    </r>
  </si>
  <si>
    <t xml:space="preserve">condenser_1_manual-auto_switch</t>
  </si>
  <si>
    <t xml:space="preserve">condenser_2_manual-auto_switch</t>
  </si>
  <si>
    <t xml:space="preserve">HV-5B</t>
  </si>
  <si>
    <t xml:space="preserve">LV-3B</t>
  </si>
  <si>
    <t xml:space="preserve">Spot Cam - PTZ - 26 spot-cam-ptz.jpg</t>
  </si>
  <si>
    <t xml:space="preserve">EHV-S1</t>
  </si>
  <si>
    <t xml:space="preserve">controller</t>
  </si>
  <si>
    <t xml:space="preserve">LED_Controller_ok</t>
  </si>
  <si>
    <t xml:space="preserve">EHV-S2 </t>
  </si>
  <si>
    <t xml:space="preserve">Manual-Auto_switch</t>
  </si>
  <si>
    <t xml:space="preserve">HV-3B </t>
  </si>
  <si>
    <t xml:space="preserve">Manual-GIAPM_switch</t>
  </si>
  <si>
    <t xml:space="preserve">LV-1A-1</t>
  </si>
  <si>
    <r>
      <rPr>
        <sz val="10"/>
        <color rgb="FF000000"/>
        <rFont val="맑은 고딕"/>
        <family val="3"/>
        <charset val="1"/>
      </rPr>
      <t xml:space="preserve">수변전설비</t>
    </r>
    <r>
      <rPr>
        <sz val="10"/>
        <color rgb="FF000000"/>
        <rFont val="Noto Sans CJK SC"/>
        <family val="2"/>
        <charset val="1"/>
      </rPr>
      <t xml:space="preserve"> </t>
    </r>
    <r>
      <rPr>
        <sz val="10"/>
        <color rgb="FF000000"/>
        <rFont val="맑은 고딕"/>
        <family val="3"/>
        <charset val="1"/>
      </rPr>
      <t xml:space="preserve">점검일지</t>
    </r>
  </si>
  <si>
    <t xml:space="preserve">['B15','C15','D15','E15','F15','G15','I15','J5']</t>
  </si>
  <si>
    <t xml:space="preserve">HV-CTTS4</t>
  </si>
  <si>
    <t xml:space="preserve">NGR-3 </t>
  </si>
  <si>
    <t xml:space="preserve">Ammeter04</t>
  </si>
  <si>
    <t xml:space="preserve">AG_Ammeter04_A-0-100</t>
  </si>
  <si>
    <t xml:space="preserve">no operation</t>
  </si>
  <si>
    <t xml:space="preserve">NGR-2 </t>
  </si>
  <si>
    <t xml:space="preserve">NGR-1</t>
  </si>
  <si>
    <t xml:space="preserve">MTR-3</t>
  </si>
  <si>
    <t xml:space="preserve">MTR-2</t>
  </si>
  <si>
    <t xml:space="preserve">MTR-1</t>
  </si>
  <si>
    <t xml:space="preserve">outlet</t>
  </si>
  <si>
    <t xml:space="preserve">Class_Outlet</t>
  </si>
  <si>
    <t xml:space="preserve">outlet_condtion</t>
  </si>
  <si>
    <r>
      <rPr>
        <sz val="10"/>
        <color rgb="FF000000"/>
        <rFont val="Arial"/>
        <family val="0"/>
        <charset val="1"/>
      </rPr>
      <t xml:space="preserve">ICT</t>
    </r>
    <r>
      <rPr>
        <sz val="10"/>
        <color rgb="FF000000"/>
        <rFont val="Noto Sans CJK SC"/>
        <family val="2"/>
        <charset val="1"/>
      </rPr>
      <t xml:space="preserve">센터 전기설비 점검표</t>
    </r>
  </si>
  <si>
    <r>
      <rPr>
        <sz val="10"/>
        <color rgb="FF000000"/>
        <rFont val="Noto Sans CJK SC"/>
        <family val="2"/>
        <charset val="1"/>
      </rPr>
      <t xml:space="preserve">콘센트 전원 이상 및 파손부위는 없는가</t>
    </r>
    <r>
      <rPr>
        <sz val="10"/>
        <color rgb="FF000000"/>
        <rFont val="Arial"/>
        <family val="2"/>
        <charset val="1"/>
      </rPr>
      <t xml:space="preserve">?</t>
    </r>
  </si>
  <si>
    <r>
      <rPr>
        <sz val="10"/>
        <color rgb="FF000000"/>
        <rFont val="Noto Sans CJK SC"/>
        <family val="2"/>
        <charset val="1"/>
      </rPr>
      <t xml:space="preserve">월 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회</t>
    </r>
  </si>
  <si>
    <t xml:space="preserve">EHV-1</t>
  </si>
  <si>
    <t xml:space="preserve">EHV-2</t>
  </si>
  <si>
    <t xml:space="preserve">EHV-3</t>
  </si>
  <si>
    <t xml:space="preserve">EHV-4</t>
  </si>
  <si>
    <r>
      <rPr>
        <sz val="10"/>
        <color rgb="FF000000"/>
        <rFont val="Noto Sans CJK SC"/>
        <family val="2"/>
        <charset val="1"/>
      </rPr>
      <t xml:space="preserve">일 </t>
    </r>
    <r>
      <rPr>
        <sz val="10"/>
        <color rgb="FF000000"/>
        <rFont val="Arial"/>
        <family val="2"/>
        <charset val="1"/>
      </rPr>
      <t xml:space="preserve">2, 3</t>
    </r>
    <r>
      <rPr>
        <sz val="10"/>
        <color rgb="FF000000"/>
        <rFont val="Noto Sans CJK SC"/>
        <family val="2"/>
        <charset val="1"/>
      </rPr>
      <t xml:space="preserve">회</t>
    </r>
  </si>
  <si>
    <t xml:space="preserve">LED_Red-dot_off</t>
  </si>
  <si>
    <t xml:space="preserve">Sum_PB_Max_Dmd</t>
  </si>
  <si>
    <t xml:space="preserve">DG_PB-max</t>
  </si>
  <si>
    <r>
      <rPr>
        <sz val="10"/>
        <color rgb="FF000000"/>
        <rFont val="Noto Sans CJK SC"/>
        <family val="2"/>
        <charset val="1"/>
      </rPr>
      <t xml:space="preserve">유효 전력량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무효 전력량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당월 최대전력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</si>
  <si>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큰 숫자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열만 </t>
    </r>
    <r>
      <rPr>
        <sz val="10"/>
        <color rgb="FF000000"/>
        <rFont val="Arial"/>
        <family val="0"/>
        <charset val="1"/>
      </rPr>
      <t xml:space="preserve">. 1) 1</t>
    </r>
    <r>
      <rPr>
        <sz val="10"/>
        <color rgb="FF000000"/>
        <rFont val="Noto Sans CJK SC"/>
        <family val="2"/>
        <charset val="1"/>
      </rPr>
      <t xml:space="preserve">열</t>
    </r>
    <r>
      <rPr>
        <sz val="10"/>
        <color rgb="FF000000"/>
        <rFont val="Arial"/>
        <family val="0"/>
        <charset val="1"/>
      </rPr>
      <t xml:space="preserve">: , 2) 2</t>
    </r>
    <r>
      <rPr>
        <sz val="10"/>
        <color rgb="FF000000"/>
        <rFont val="Noto Sans CJK SC"/>
        <family val="2"/>
        <charset val="1"/>
      </rPr>
      <t xml:space="preserve">열</t>
    </r>
    <r>
      <rPr>
        <sz val="10"/>
        <color rgb="FF000000"/>
        <rFont val="Arial"/>
        <family val="0"/>
        <charset val="1"/>
      </rPr>
      <t xml:space="preserve">: , 3) 3</t>
    </r>
    <r>
      <rPr>
        <sz val="10"/>
        <color rgb="FF000000"/>
        <rFont val="Noto Sans CJK SC"/>
        <family val="2"/>
        <charset val="1"/>
      </rPr>
      <t xml:space="preserve">열</t>
    </r>
    <r>
      <rPr>
        <sz val="10"/>
        <color rgb="FF000000"/>
        <rFont val="Arial"/>
        <family val="0"/>
        <charset val="1"/>
      </rPr>
      <t xml:space="preserve">:, 4) 4</t>
    </r>
    <r>
      <rPr>
        <sz val="10"/>
        <color rgb="FF000000"/>
        <rFont val="Noto Sans CJK SC"/>
        <family val="2"/>
        <charset val="1"/>
      </rPr>
      <t xml:space="preserve">열</t>
    </r>
    <r>
      <rPr>
        <sz val="10"/>
        <color rgb="FF000000"/>
        <rFont val="Arial"/>
        <family val="0"/>
        <charset val="1"/>
      </rPr>
      <t xml:space="preserve">:</t>
    </r>
  </si>
  <si>
    <t xml:space="preserve">EHV-5</t>
  </si>
  <si>
    <t xml:space="preserve">UVR_panel</t>
  </si>
  <si>
    <t xml:space="preserve">EHV-6</t>
  </si>
  <si>
    <t xml:space="preserve">OGCR_panel</t>
  </si>
  <si>
    <t xml:space="preserve">EHV-7 </t>
  </si>
  <si>
    <t xml:space="preserve">EHV-8</t>
  </si>
  <si>
    <t xml:space="preserve">EHV-S5</t>
  </si>
  <si>
    <t xml:space="preserve">HV-CTTS2</t>
  </si>
  <si>
    <t xml:space="preserve">EHV-S3</t>
  </si>
  <si>
    <t xml:space="preserve">Spot Cam - PTZ - 63 spot-cam-ptz.jpg</t>
  </si>
  <si>
    <t xml:space="preserve">Spot Cam - PTZ - 64 spot-cam-ptz.jpg</t>
  </si>
  <si>
    <t xml:space="preserve">HV-1B</t>
  </si>
  <si>
    <t xml:space="preserve">ESS_room</t>
  </si>
  <si>
    <t xml:space="preserve">PCS_main</t>
  </si>
  <si>
    <t xml:space="preserve">wire</t>
  </si>
  <si>
    <t xml:space="preserve">Class_C-Duct_Clean</t>
  </si>
  <si>
    <t xml:space="preserve">wire_condition</t>
  </si>
  <si>
    <t xml:space="preserve"> 무정전전원장치 점검기록표 </t>
  </si>
  <si>
    <r>
      <rPr>
        <sz val="10"/>
        <color rgb="FF000000"/>
        <rFont val="Noto Sans CJK SC"/>
        <family val="2"/>
        <charset val="1"/>
      </rPr>
      <t xml:space="preserve">전선 및 전선관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접속단자 등 상태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손상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열화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변색 등</t>
    </r>
    <r>
      <rPr>
        <sz val="10"/>
        <color rgb="FF000000"/>
        <rFont val="Arial"/>
        <family val="2"/>
        <charset val="1"/>
      </rPr>
      <t xml:space="preserve">) - </t>
    </r>
    <r>
      <rPr>
        <sz val="10"/>
        <color rgb="FF000000"/>
        <rFont val="Noto Sans CJK SC"/>
        <family val="2"/>
        <charset val="1"/>
      </rPr>
      <t xml:space="preserve">함 외부</t>
    </r>
  </si>
  <si>
    <t xml:space="preserve">DG_Thermo-hygro</t>
  </si>
  <si>
    <t xml:space="preserve">temperature, humidity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</si>
  <si>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온도</t>
    </r>
    <r>
      <rPr>
        <sz val="10"/>
        <color rgb="FF000000"/>
        <rFont val="Arial"/>
        <family val="0"/>
        <charset val="1"/>
      </rPr>
      <t xml:space="preserve">: , 2) </t>
    </r>
    <r>
      <rPr>
        <sz val="10"/>
        <color rgb="FF000000"/>
        <rFont val="Noto Sans CJK SC"/>
        <family val="2"/>
        <charset val="1"/>
      </rPr>
      <t xml:space="preserve">습도</t>
    </r>
    <r>
      <rPr>
        <sz val="10"/>
        <color rgb="FF000000"/>
        <rFont val="Arial"/>
        <family val="0"/>
        <charset val="1"/>
      </rPr>
      <t xml:space="preserve">: </t>
    </r>
  </si>
  <si>
    <t xml:space="preserve">UPS_100KVA</t>
  </si>
  <si>
    <t xml:space="preserve">Class_Clean</t>
  </si>
  <si>
    <t xml:space="preserve">ETC</t>
  </si>
  <si>
    <t xml:space="preserve">Solar_power_panel_inverter</t>
  </si>
  <si>
    <t xml:space="preserve">control_panel</t>
  </si>
  <si>
    <t xml:space="preserve">DG_UPS-100KVA</t>
  </si>
  <si>
    <r>
      <rPr>
        <sz val="10"/>
        <color rgb="FF000000"/>
        <rFont val="Noto Sans CJK SC"/>
        <family val="2"/>
        <charset val="1"/>
      </rPr>
      <t xml:space="preserve">무정전전원장치 점검기록표 </t>
    </r>
    <r>
      <rPr>
        <sz val="10"/>
        <color rgb="FF000000"/>
        <rFont val="Arial"/>
        <family val="2"/>
        <charset val="1"/>
      </rPr>
      <t xml:space="preserve">ICT</t>
    </r>
    <r>
      <rPr>
        <sz val="10"/>
        <color rgb="FF000000"/>
        <rFont val="Noto Sans CJK SC"/>
        <family val="2"/>
        <charset val="1"/>
      </rPr>
      <t xml:space="preserve">센터 전기설비 점검표</t>
    </r>
  </si>
  <si>
    <r>
      <rPr>
        <sz val="10"/>
        <color rgb="FF000000"/>
        <rFont val="Noto Sans CJK SC"/>
        <family val="2"/>
        <charset val="1"/>
      </rPr>
      <t xml:space="preserve">입력출력 전압 전류 부하량 축전지</t>
    </r>
    <r>
      <rPr>
        <sz val="10"/>
        <color rgb="FF000000"/>
        <rFont val="Arial"/>
        <family val="2"/>
        <charset val="1"/>
      </rPr>
      <t xml:space="preserve">, UPS</t>
    </r>
    <r>
      <rPr>
        <sz val="10"/>
        <color rgb="FF000000"/>
        <rFont val="Noto Sans CJK SC"/>
        <family val="2"/>
        <charset val="1"/>
      </rPr>
      <t xml:space="preserve">계측값은 정상이며 알림발생유무</t>
    </r>
    <r>
      <rPr>
        <sz val="10"/>
        <color rgb="FF000000"/>
        <rFont val="Arial"/>
        <family val="2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</si>
  <si>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?, </t>
    </r>
    <r>
      <rPr>
        <sz val="10"/>
        <color rgb="FF000000"/>
        <rFont val="Noto Sans CJK SC"/>
        <family val="2"/>
        <charset val="1"/>
      </rPr>
      <t xml:space="preserve">월 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회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</si>
  <si>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바이패스는 좌측 상단쪽에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</t>
    </r>
    <r>
      <rPr>
        <sz val="10"/>
        <color rgb="FF000000"/>
        <rFont val="Noto Sans CJK SC"/>
        <family val="2"/>
        <charset val="1"/>
      </rPr>
      <t xml:space="preserve">이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입력은 하단부 좌측에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축전지는 하단부 중앙 쯤에 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그 밑에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출력은 하단부 우측에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숫자를 알려줘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입력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2) </t>
    </r>
    <r>
      <rPr>
        <sz val="10"/>
        <color rgb="FF000000"/>
        <rFont val="Noto Sans CJK SC"/>
        <family val="2"/>
        <charset val="1"/>
      </rPr>
      <t xml:space="preserve">출력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3) </t>
    </r>
    <r>
      <rPr>
        <sz val="10"/>
        <color rgb="FF000000"/>
        <rFont val="Noto Sans CJK SC"/>
        <family val="2"/>
        <charset val="1"/>
      </rPr>
      <t xml:space="preserve">바이패스 전압</t>
    </r>
    <r>
      <rPr>
        <sz val="10"/>
        <color rgb="FF000000"/>
        <rFont val="Arial"/>
        <family val="0"/>
        <charset val="1"/>
      </rPr>
      <t xml:space="preserve">(V) (R), (S), (T) 4) </t>
    </r>
    <r>
      <rPr>
        <sz val="10"/>
        <color rgb="FF000000"/>
        <rFont val="Noto Sans CJK SC"/>
        <family val="2"/>
        <charset val="1"/>
      </rPr>
      <t xml:space="preserve">축전지</t>
    </r>
    <r>
      <rPr>
        <sz val="10"/>
        <color rgb="FF000000"/>
        <rFont val="Arial"/>
        <family val="0"/>
        <charset val="1"/>
      </rPr>
      <t xml:space="preserve">: (V), (A) </t>
    </r>
  </si>
  <si>
    <t xml:space="preserve">Generator_room_v2</t>
  </si>
  <si>
    <t xml:space="preserve">generator_01</t>
  </si>
  <si>
    <t xml:space="preserve">genset_data</t>
  </si>
  <si>
    <t xml:space="preserve">DG_Gen-Status</t>
  </si>
  <si>
    <t xml:space="preserve">Check the Coolant Temp</t>
  </si>
  <si>
    <r>
      <rPr>
        <sz val="10"/>
        <color rgb="FF000000"/>
        <rFont val="Noto Sans CJK SC"/>
        <family val="2"/>
        <charset val="1"/>
      </rPr>
      <t xml:space="preserve">발전설비 점검기록표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수변전 점검기록표</t>
    </r>
  </si>
  <si>
    <r>
      <rPr>
        <sz val="10"/>
        <color rgb="FF000000"/>
        <rFont val="Noto Sans CJK SC"/>
        <family val="2"/>
        <charset val="1"/>
      </rPr>
      <t xml:space="preserve">발전기 히팅코일은 이상없는가</t>
    </r>
    <r>
      <rPr>
        <sz val="10"/>
        <color rgb="FF000000"/>
        <rFont val="Arial"/>
        <family val="2"/>
        <charset val="1"/>
      </rPr>
      <t xml:space="preserve">?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</si>
  <si>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숫자만</t>
    </r>
    <r>
      <rPr>
        <sz val="10"/>
        <color rgb="FF000000"/>
        <rFont val="Arial"/>
        <family val="0"/>
        <charset val="1"/>
      </rPr>
      <t xml:space="preserve">. 1) Coolant Temp</t>
    </r>
  </si>
  <si>
    <t xml:space="preserve">pipe_valve</t>
  </si>
  <si>
    <t xml:space="preserve">Class_Plumb_Clean</t>
  </si>
  <si>
    <t xml:space="preserve">piping_condition</t>
  </si>
  <si>
    <t xml:space="preserve">Battery_board</t>
  </si>
  <si>
    <t xml:space="preserve">A1_Ammeter02</t>
  </si>
  <si>
    <t xml:space="preserve">AG_Ammeter02_A-0-30</t>
  </si>
  <si>
    <t xml:space="preserve">Check the gauge when the facility is operating</t>
  </si>
  <si>
    <t xml:space="preserve">A2_Ammeter02</t>
  </si>
  <si>
    <t xml:space="preserve">V1_voltimeter</t>
  </si>
  <si>
    <t xml:space="preserve">AG_Voltimeter_V-0-30</t>
  </si>
  <si>
    <r>
      <rPr>
        <sz val="10"/>
        <color rgb="FF000000"/>
        <rFont val="Noto Sans CJK SC"/>
        <family val="2"/>
        <charset val="1"/>
      </rPr>
      <t xml:space="preserve">일일설비 순회점검 일지 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야간</t>
    </r>
    <r>
      <rPr>
        <sz val="10"/>
        <color rgb="FF000000"/>
        <rFont val="Arial"/>
        <family val="2"/>
        <charset val="1"/>
      </rPr>
      <t xml:space="preserve">)</t>
    </r>
  </si>
  <si>
    <t xml:space="preserve">V1-METER / V2-METER</t>
  </si>
  <si>
    <t xml:space="preserve">V2_voltimeter</t>
  </si>
  <si>
    <t xml:space="preserve">Heater_power_board</t>
  </si>
  <si>
    <t xml:space="preserve">A_heater</t>
  </si>
  <si>
    <t xml:space="preserve">A_power</t>
  </si>
  <si>
    <t xml:space="preserve">A_battery</t>
  </si>
  <si>
    <t xml:space="preserve">B_heater</t>
  </si>
  <si>
    <t xml:space="preserve">B_power</t>
  </si>
  <si>
    <t xml:space="preserve">B_battery</t>
  </si>
  <si>
    <t xml:space="preserve">generator_02</t>
  </si>
  <si>
    <t xml:space="preserve">Feeder_panel</t>
  </si>
  <si>
    <t xml:space="preserve">VCB_630A(F1)/CTTS-1</t>
  </si>
  <si>
    <t xml:space="preserve">Gen_control_panel</t>
  </si>
  <si>
    <t xml:space="preserve">VCB_630A(M1)/Gen1</t>
  </si>
  <si>
    <t xml:space="preserve">LED_Yellow_off</t>
  </si>
  <si>
    <t xml:space="preserve">VCB_630A(F2)/CTTS-2</t>
  </si>
  <si>
    <t xml:space="preserve">VCB_630A(M2)/Gen2</t>
  </si>
  <si>
    <t xml:space="preserve">VCB_630A(F4)/CTTS-4</t>
  </si>
  <si>
    <t xml:space="preserve">VCB_630A(F3)/CTTS-3</t>
  </si>
  <si>
    <t xml:space="preserve">NGR panel</t>
  </si>
  <si>
    <t xml:space="preserve">Gen01_NGR_Open</t>
  </si>
  <si>
    <t xml:space="preserve">Gen02_NGR_Open</t>
  </si>
  <si>
    <t xml:space="preserve">Gen03_NGR_Open</t>
  </si>
  <si>
    <t xml:space="preserve">Gen04_NGR_Open</t>
  </si>
  <si>
    <t xml:space="preserve">Gen05_NGR_Open</t>
  </si>
  <si>
    <t xml:space="preserve">Gen01_NGR_Close</t>
  </si>
  <si>
    <t xml:space="preserve">Gen02_NGR_Close</t>
  </si>
  <si>
    <t xml:space="preserve">Gen03_NGR_Close</t>
  </si>
  <si>
    <t xml:space="preserve">Gen04_NGR_Close</t>
  </si>
  <si>
    <t xml:space="preserve">Gen05_NGR_Close</t>
  </si>
  <si>
    <t xml:space="preserve">Thrmo-hygro</t>
  </si>
  <si>
    <t xml:space="preserve">Ammeter01</t>
  </si>
  <si>
    <t xml:space="preserve">AG_Ammeter01_A-0-300</t>
  </si>
  <si>
    <t xml:space="preserve">alarm_LED</t>
  </si>
  <si>
    <t xml:space="preserve">Digital_multi_function_relay(OCGR)</t>
  </si>
  <si>
    <t xml:space="preserve">Master Control panel</t>
  </si>
  <si>
    <t xml:space="preserve">generator_auto_switch</t>
  </si>
  <si>
    <t xml:space="preserve">Sw_Nobe-dot_Center</t>
  </si>
  <si>
    <t xml:space="preserve"> 배ㆍ분전반 및 보호시설의 적정 여부</t>
  </si>
  <si>
    <t xml:space="preserve">open_close_selector_switch</t>
  </si>
  <si>
    <t xml:space="preserve">Sw_Nobe_Center</t>
  </si>
  <si>
    <t xml:space="preserve">MCCB panel(battery, heater_distribution_board)</t>
  </si>
  <si>
    <t xml:space="preserve">digital_meter_left</t>
  </si>
  <si>
    <t xml:space="preserve">DG_Digital-Meter</t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</si>
  <si>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숫자만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윗줄 숫자</t>
    </r>
    <r>
      <rPr>
        <sz val="10"/>
        <color rgb="FF000000"/>
        <rFont val="Arial"/>
        <family val="0"/>
        <charset val="1"/>
      </rPr>
      <t xml:space="preserve">: 2) </t>
    </r>
    <r>
      <rPr>
        <sz val="10"/>
        <color rgb="FF000000"/>
        <rFont val="Noto Sans CJK SC"/>
        <family val="2"/>
        <charset val="1"/>
      </rPr>
      <t xml:space="preserve">중간줄 숫자</t>
    </r>
    <r>
      <rPr>
        <sz val="10"/>
        <color rgb="FF000000"/>
        <rFont val="Arial"/>
        <family val="0"/>
        <charset val="1"/>
      </rPr>
      <t xml:space="preserve">:3) </t>
    </r>
    <r>
      <rPr>
        <sz val="10"/>
        <color rgb="FF000000"/>
        <rFont val="Noto Sans CJK SC"/>
        <family val="2"/>
        <charset val="1"/>
      </rPr>
      <t xml:space="preserve">아래줄 숫자</t>
    </r>
    <r>
      <rPr>
        <sz val="10"/>
        <color rgb="FF000000"/>
        <rFont val="Arial"/>
        <family val="0"/>
        <charset val="1"/>
      </rPr>
      <t xml:space="preserve">:</t>
    </r>
  </si>
  <si>
    <t xml:space="preserve">digital_meter_right</t>
  </si>
  <si>
    <t xml:space="preserve">machine_room_v4</t>
  </si>
  <si>
    <t xml:space="preserve">electric_water_heater</t>
  </si>
  <si>
    <t xml:space="preserve">DG_Electric-Water-Heater</t>
  </si>
  <si>
    <r>
      <rPr>
        <sz val="10"/>
        <color rgb="FF000000"/>
        <rFont val="Noto Sans CJK SC"/>
        <family val="2"/>
        <charset val="1"/>
      </rPr>
      <t xml:space="preserve">일일설비 순회점검 일지 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주야간</t>
    </r>
    <r>
      <rPr>
        <sz val="10"/>
        <color rgb="FF000000"/>
        <rFont val="Arial"/>
        <family val="2"/>
        <charset val="1"/>
      </rPr>
      <t xml:space="preserve">)</t>
    </r>
  </si>
  <si>
    <t xml:space="preserve">전기온수기 온도 계측 및 정상상태</t>
  </si>
  <si>
    <r>
      <rPr>
        <sz val="10"/>
        <color rgb="FF000000"/>
        <rFont val="Noto Sans CJK SC"/>
        <family val="2"/>
        <charset val="1"/>
      </rPr>
      <t xml:space="preserve">일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회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</si>
  <si>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적색 숫자만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숫자</t>
    </r>
    <r>
      <rPr>
        <sz val="10"/>
        <color rgb="FF000000"/>
        <rFont val="Arial"/>
        <family val="0"/>
        <charset val="1"/>
      </rPr>
      <t xml:space="preserve">:</t>
    </r>
  </si>
  <si>
    <t xml:space="preserve">geothermal_return_header</t>
  </si>
  <si>
    <t xml:space="preserve">pipe_#3</t>
  </si>
  <si>
    <t xml:space="preserve">AG_Pressure02_P-0-1.5</t>
  </si>
  <si>
    <t xml:space="preserve">normal = 0.65 Mpa</t>
  </si>
  <si>
    <t xml:space="preserve">지열설비 점검표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</si>
  <si>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환수 압력</t>
    </r>
    <r>
      <rPr>
        <sz val="10"/>
        <color rgb="FF000000"/>
        <rFont val="Arial"/>
        <family val="2"/>
        <charset val="1"/>
      </rPr>
      <t xml:space="preserve">(MPa)</t>
    </r>
  </si>
  <si>
    <t xml:space="preserve">일일</t>
  </si>
  <si>
    <t xml:space="preserve">pipe_#2</t>
  </si>
  <si>
    <t xml:space="preserve">pipe_#1</t>
  </si>
  <si>
    <t xml:space="preserve">AG_Temperature_T-0-100</t>
  </si>
  <si>
    <r>
      <rPr>
        <sz val="10"/>
        <color rgb="FF000000"/>
        <rFont val="Arial"/>
        <family val="0"/>
        <charset val="1"/>
      </rPr>
      <t xml:space="preserve">normal = 20</t>
    </r>
    <r>
      <rPr>
        <sz val="10"/>
        <color rgb="FF000000"/>
        <rFont val="Arial"/>
        <family val="2"/>
        <charset val="1"/>
      </rPr>
      <t xml:space="preserve">℃</t>
    </r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</si>
  <si>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환수 온도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Arial"/>
        <family val="3"/>
        <charset val="1"/>
      </rPr>
      <t xml:space="preserve">℃</t>
    </r>
    <r>
      <rPr>
        <sz val="10"/>
        <color rgb="FF000000"/>
        <rFont val="Arial"/>
        <family val="2"/>
        <charset val="1"/>
      </rPr>
      <t xml:space="preserve">)</t>
    </r>
  </si>
  <si>
    <t xml:space="preserve">pipe</t>
  </si>
  <si>
    <r>
      <rPr>
        <sz val="10"/>
        <color rgb="FF000000"/>
        <rFont val="Noto Sans CJK SC"/>
        <family val="2"/>
        <charset val="1"/>
      </rPr>
      <t xml:space="preserve">소음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진동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누수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보온재 상태</t>
    </r>
  </si>
  <si>
    <t xml:space="preserve">Sw_Valve</t>
  </si>
  <si>
    <t xml:space="preserve">fire_pump</t>
  </si>
  <si>
    <t xml:space="preserve">auxiliary_pump</t>
  </si>
  <si>
    <t xml:space="preserve">AG_Pressure03_P-0-1.5</t>
  </si>
  <si>
    <t xml:space="preserve">main_pump</t>
  </si>
  <si>
    <t xml:space="preserve">spare_pump</t>
  </si>
  <si>
    <t xml:space="preserve">geothermal_circulation_pump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</si>
  <si>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Noto Sans CJK SC"/>
        <family val="2"/>
        <charset val="1"/>
      </rPr>
      <t xml:space="preserve">환수 압력</t>
    </r>
    <r>
      <rPr>
        <sz val="10"/>
        <color rgb="FF000000"/>
        <rFont val="Arial"/>
        <family val="2"/>
        <charset val="1"/>
      </rPr>
      <t xml:space="preserve">(MPa)</t>
    </r>
  </si>
  <si>
    <t xml:space="preserve">geothermal_heat_pump</t>
  </si>
  <si>
    <t xml:space="preserve">pipe_#1-2(rear)</t>
  </si>
  <si>
    <t xml:space="preserve">The standard pressure is 0.7 Mpa, but higher is also acceptable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</si>
  <si>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 압력</t>
    </r>
    <r>
      <rPr>
        <sz val="10"/>
        <color rgb="FF000000"/>
        <rFont val="Arial"/>
        <family val="2"/>
        <charset val="1"/>
      </rPr>
      <t xml:space="preserve">(MPa)</t>
    </r>
  </si>
  <si>
    <t xml:space="preserve">pipe_#3-1(rear)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</si>
  <si>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 온도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Arial"/>
        <family val="3"/>
        <charset val="1"/>
      </rPr>
      <t xml:space="preserve">℃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</si>
  <si>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환수 온도</t>
    </r>
    <r>
      <rPr>
        <sz val="10"/>
        <color rgb="FF000000"/>
        <rFont val="Arial"/>
        <family val="2"/>
        <charset val="1"/>
      </rPr>
      <t xml:space="preserve">(℃)</t>
    </r>
  </si>
  <si>
    <t xml:space="preserve">pipe_#2-1(rear)</t>
  </si>
  <si>
    <t xml:space="preserve">pipe_#4</t>
  </si>
  <si>
    <t xml:space="preserve">pipe_condition</t>
  </si>
  <si>
    <t xml:space="preserve">pipe_#5</t>
  </si>
  <si>
    <t xml:space="preserve">pipe_#4-2(rear)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</si>
  <si>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 온도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Arial"/>
        <family val="1"/>
        <charset val="1"/>
      </rPr>
      <t xml:space="preserve">℃</t>
    </r>
    <r>
      <rPr>
        <sz val="10"/>
        <color rgb="FF000000"/>
        <rFont val="Arial"/>
        <family val="2"/>
        <charset val="1"/>
      </rPr>
      <t xml:space="preserve">)</t>
    </r>
  </si>
  <si>
    <t xml:space="preserve">pipe_#4-1(rear)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</si>
  <si>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공급 온도</t>
    </r>
    <r>
      <rPr>
        <sz val="10"/>
        <color rgb="FF000000"/>
        <rFont val="Arial"/>
        <family val="2"/>
        <charset val="1"/>
      </rPr>
      <t xml:space="preserve">(℃)</t>
    </r>
  </si>
  <si>
    <t xml:space="preserve">expansion_tank_pressure</t>
  </si>
  <si>
    <t xml:space="preserve">AG_Pressure04_P-0-1.5</t>
  </si>
  <si>
    <t xml:space="preserve">지열 설비 점검표</t>
  </si>
  <si>
    <r>
      <rPr>
        <sz val="10"/>
        <color rgb="FF000000"/>
        <rFont val="Noto Sans CJK SC"/>
        <family val="2"/>
        <charset val="1"/>
      </rPr>
      <t xml:space="preserve">지열팽창탱크 압력</t>
    </r>
    <r>
      <rPr>
        <sz val="10"/>
        <color rgb="FF000000"/>
        <rFont val="Arial"/>
        <family val="2"/>
        <charset val="1"/>
      </rPr>
      <t xml:space="preserve">(MPa)</t>
    </r>
  </si>
  <si>
    <t xml:space="preserve">pipe_#4-1</t>
  </si>
  <si>
    <t xml:space="preserve">pipe_#4-2</t>
  </si>
  <si>
    <r>
      <rPr>
        <sz val="10"/>
        <color rgb="FF000000"/>
        <rFont val="Noto Sans CJK SC"/>
        <family val="2"/>
        <charset val="1"/>
      </rPr>
      <t xml:space="preserve">냉</t>
    </r>
    <r>
      <rPr>
        <sz val="10"/>
        <color rgb="FF000000"/>
        <rFont val="Arial"/>
        <family val="2"/>
        <charset val="1"/>
      </rPr>
      <t xml:space="preserve">·</t>
    </r>
    <r>
      <rPr>
        <sz val="10"/>
        <color rgb="FF000000"/>
        <rFont val="Noto Sans CJK SC"/>
        <family val="2"/>
        <charset val="1"/>
      </rPr>
      <t xml:space="preserve">온수 환수 온도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Arial"/>
        <family val="1"/>
        <charset val="1"/>
      </rPr>
      <t xml:space="preserve">℃</t>
    </r>
    <r>
      <rPr>
        <sz val="10"/>
        <color rgb="FF000000"/>
        <rFont val="Arial"/>
        <family val="2"/>
        <charset val="1"/>
      </rPr>
      <t xml:space="preserve">)</t>
    </r>
  </si>
  <si>
    <t xml:space="preserve">MCP-GP-1</t>
  </si>
  <si>
    <t xml:space="preserve">digital_meter</t>
  </si>
  <si>
    <r>
      <rPr>
        <sz val="10"/>
        <color rgb="FF000000"/>
        <rFont val="Arial"/>
        <family val="0"/>
        <charset val="1"/>
      </rPr>
      <t xml:space="preserve">MCP-GP-1,2 </t>
    </r>
    <r>
      <rPr>
        <sz val="10"/>
        <color rgb="FF000000"/>
        <rFont val="Noto Sans CJK SC"/>
        <family val="2"/>
        <charset val="1"/>
      </rPr>
      <t xml:space="preserve">점검표</t>
    </r>
  </si>
  <si>
    <r>
      <rPr>
        <sz val="10"/>
        <color rgb="FF000000"/>
        <rFont val="Arial"/>
        <family val="0"/>
        <charset val="1"/>
      </rPr>
      <t xml:space="preserve">GIMAC-1000 </t>
    </r>
    <r>
      <rPr>
        <sz val="10"/>
        <color rgb="FF000000"/>
        <rFont val="Noto Sans CJK SC"/>
        <family val="2"/>
        <charset val="1"/>
      </rPr>
      <t xml:space="preserve">정상계측값인지</t>
    </r>
    <r>
      <rPr>
        <sz val="10"/>
        <color rgb="FF000000"/>
        <rFont val="Arial"/>
        <family val="2"/>
        <charset val="1"/>
      </rPr>
      <t xml:space="preserve">?</t>
    </r>
  </si>
  <si>
    <t xml:space="preserve">MCP-GP-2</t>
  </si>
  <si>
    <t xml:space="preserve">booster_pump</t>
  </si>
  <si>
    <t xml:space="preserve">펌프 배관 설비 점검표</t>
  </si>
  <si>
    <r>
      <rPr>
        <sz val="10"/>
        <color rgb="FF000000"/>
        <rFont val="Noto Sans CJK SC"/>
        <family val="2"/>
        <charset val="1"/>
      </rPr>
      <t xml:space="preserve">배관의 누수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부식 및 각종 밸브 동작여부</t>
    </r>
  </si>
  <si>
    <t xml:space="preserve">pipe_#1(upper)</t>
  </si>
  <si>
    <t xml:space="preserve">pipe_#2(bottom)</t>
  </si>
  <si>
    <t xml:space="preserve">AG_Pressure07_P-0-2</t>
  </si>
  <si>
    <t xml:space="preserve">normal = 0.5 Mpa</t>
  </si>
  <si>
    <r>
      <rPr>
        <sz val="10"/>
        <color rgb="FF000000"/>
        <rFont val="Noto Sans CJK SC"/>
        <family val="2"/>
        <charset val="1"/>
      </rPr>
      <t xml:space="preserve">현재압력 </t>
    </r>
    <r>
      <rPr>
        <sz val="10"/>
        <color rgb="FF000000"/>
        <rFont val="Arial"/>
        <family val="2"/>
        <charset val="1"/>
      </rPr>
      <t xml:space="preserve">(bar), </t>
    </r>
    <r>
      <rPr>
        <sz val="10"/>
        <color rgb="FF000000"/>
        <rFont val="Noto Sans CJK SC"/>
        <family val="2"/>
        <charset val="1"/>
      </rPr>
      <t xml:space="preserve">압력게이지 등 정상 동작상태</t>
    </r>
  </si>
  <si>
    <t xml:space="preserve">expansion_tank</t>
  </si>
  <si>
    <t xml:space="preserve">water_leak</t>
  </si>
  <si>
    <t xml:space="preserve">지열팽창탱크 누수 및 이상여부</t>
  </si>
  <si>
    <t xml:space="preserve">pressure_gauge</t>
  </si>
  <si>
    <t xml:space="preserve">AG_Pressure05_P-0-16</t>
  </si>
  <si>
    <t xml:space="preserve">normal = 6 bar</t>
  </si>
  <si>
    <t xml:space="preserve">water_tank</t>
  </si>
  <si>
    <t xml:space="preserve">level_gauge</t>
  </si>
  <si>
    <t xml:space="preserve">Class_W-Tank_Gauge</t>
  </si>
  <si>
    <t xml:space="preserve">water_level_gauge</t>
  </si>
  <si>
    <t xml:space="preserve">저수조 위생점검기준</t>
  </si>
  <si>
    <r>
      <rPr>
        <sz val="10"/>
        <color rgb="FF000000"/>
        <rFont val="Noto Sans CJK SC"/>
        <family val="2"/>
        <charset val="1"/>
      </rPr>
      <t xml:space="preserve">저수량</t>
    </r>
    <r>
      <rPr>
        <sz val="10"/>
        <color rgb="FF000000"/>
        <rFont val="Arial"/>
        <family val="2"/>
        <charset val="1"/>
      </rPr>
      <t xml:space="preserve">1 / </t>
    </r>
    <r>
      <rPr>
        <sz val="10"/>
        <color rgb="FF000000"/>
        <rFont val="Noto Sans CJK SC"/>
        <family val="2"/>
        <charset val="1"/>
      </rPr>
      <t xml:space="preserve">저수량</t>
    </r>
    <r>
      <rPr>
        <sz val="10"/>
        <color rgb="FF000000"/>
        <rFont val="Arial"/>
        <family val="2"/>
        <charset val="1"/>
      </rPr>
      <t xml:space="preserve">2</t>
    </r>
  </si>
  <si>
    <t xml:space="preserve">booster_pump(server-dong)</t>
  </si>
  <si>
    <t xml:space="preserve">drain_pump</t>
  </si>
  <si>
    <t xml:space="preserve">AG_Pressure06_P-0-1.5</t>
  </si>
  <si>
    <t xml:space="preserve">booster_pump_system</t>
  </si>
  <si>
    <t xml:space="preserve">DG_Boost-pump</t>
  </si>
  <si>
    <t xml:space="preserve">압력게이지 등 정상 동작상태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</si>
  <si>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상단 원 내부 숫자</t>
    </r>
    <r>
      <rPr>
        <sz val="10"/>
        <color rgb="FF000000"/>
        <rFont val="Arial"/>
        <family val="0"/>
        <charset val="1"/>
      </rPr>
      <t xml:space="preserve">, 1) </t>
    </r>
    <r>
      <rPr>
        <sz val="10"/>
        <color rgb="FF000000"/>
        <rFont val="Noto Sans CJK SC"/>
        <family val="2"/>
        <charset val="1"/>
      </rPr>
      <t xml:space="preserve">설정압력</t>
    </r>
    <r>
      <rPr>
        <sz val="10"/>
        <color rgb="FF000000"/>
        <rFont val="Arial"/>
        <family val="0"/>
        <charset val="1"/>
      </rPr>
      <t xml:space="preserve">: , 2) </t>
    </r>
    <r>
      <rPr>
        <sz val="10"/>
        <color rgb="FF000000"/>
        <rFont val="Noto Sans CJK SC"/>
        <family val="2"/>
        <charset val="1"/>
      </rPr>
      <t xml:space="preserve">현재압력</t>
    </r>
    <r>
      <rPr>
        <sz val="10"/>
        <color rgb="FF000000"/>
        <rFont val="Arial"/>
        <family val="0"/>
        <charset val="1"/>
      </rPr>
      <t xml:space="preserve">:</t>
    </r>
  </si>
  <si>
    <t xml:space="preserve">유출관･배수관 등의 접합부분은 고정되고 방수･밀폐되어 있을 것</t>
  </si>
  <si>
    <r>
      <rPr>
        <sz val="10"/>
        <color rgb="FF000000"/>
        <rFont val="Noto Sans CJK SC"/>
        <family val="2"/>
        <charset val="1"/>
      </rPr>
      <t xml:space="preserve">청결하며 쓰레기･오물 등이 놓여 있지 아니할 것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저수조 주위에 고인 물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용수 등이 없을 것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저수조 주위에 고인 물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용수 등이 없을 것</t>
    </r>
  </si>
  <si>
    <t xml:space="preserve">floor_condition</t>
  </si>
  <si>
    <t xml:space="preserve">Class_Water_Clean</t>
  </si>
  <si>
    <t xml:space="preserve">overflow, cleaning_condition</t>
  </si>
  <si>
    <r>
      <rPr>
        <sz val="10"/>
        <color rgb="FF000000"/>
        <rFont val="Noto Sans CJK SC"/>
        <family val="2"/>
        <charset val="1"/>
      </rPr>
      <t xml:space="preserve">펌프 배관 설비 점검표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일일설비 순회점검 일지</t>
    </r>
  </si>
  <si>
    <r>
      <rPr>
        <sz val="10"/>
        <color rgb="FF000000"/>
        <rFont val="Noto Sans CJK SC"/>
        <family val="2"/>
        <charset val="1"/>
      </rPr>
      <t xml:space="preserve">청소상태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배수상태</t>
    </r>
  </si>
  <si>
    <r>
      <rPr>
        <sz val="10"/>
        <color rgb="FF000000"/>
        <rFont val="Noto Sans CJK SC"/>
        <family val="2"/>
        <charset val="1"/>
      </rPr>
      <t xml:space="preserve">분기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일 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Noto Sans CJK SC"/>
        <family val="2"/>
        <charset val="1"/>
      </rPr>
      <t xml:space="preserve">회</t>
    </r>
  </si>
  <si>
    <t xml:space="preserve">pipe_#1(front)</t>
  </si>
  <si>
    <t xml:space="preserve">pipe_#1(rear)</t>
  </si>
  <si>
    <t xml:space="preserve">pipe_#2(rear)</t>
  </si>
  <si>
    <t xml:space="preserve">pipe_#3(rear)</t>
  </si>
  <si>
    <t xml:space="preserve">pipe_#4(rear)</t>
  </si>
  <si>
    <t xml:space="preserve">pipe_#2(front)</t>
  </si>
  <si>
    <t xml:space="preserve">pipe_#3(front)</t>
  </si>
  <si>
    <t xml:space="preserve">pipe_#4(front)</t>
  </si>
  <si>
    <t xml:space="preserve">booster_pump(office-dong)</t>
  </si>
  <si>
    <r>
      <rPr>
        <sz val="10"/>
        <color rgb="FF000000"/>
        <rFont val="Noto Sans CJK SC"/>
        <family val="2"/>
        <charset val="1"/>
      </rPr>
      <t xml:space="preserve">배관의 누수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부식 및 각종 밸브 동작여부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압력탱크 누수</t>
    </r>
  </si>
  <si>
    <t xml:space="preserve">geothermal_supply_header</t>
  </si>
  <si>
    <r>
      <rPr>
        <sz val="10"/>
        <color rgb="FF000000"/>
        <rFont val="Noto Sans CJK SC"/>
        <family val="2"/>
        <charset val="1"/>
      </rPr>
      <t xml:space="preserve">지열공급헤더</t>
    </r>
    <r>
      <rPr>
        <sz val="10"/>
        <color rgb="FF000000"/>
        <rFont val="Arial"/>
        <family val="2"/>
        <charset val="1"/>
      </rPr>
      <t xml:space="preserve">-</t>
    </r>
    <r>
      <rPr>
        <sz val="10"/>
        <color rgb="FF000000"/>
        <rFont val="Noto Sans CJK SC"/>
        <family val="2"/>
        <charset val="1"/>
      </rPr>
      <t xml:space="preserve">냉온수 공급 압력</t>
    </r>
    <r>
      <rPr>
        <sz val="10"/>
        <color rgb="FF000000"/>
        <rFont val="Arial"/>
        <family val="2"/>
        <charset val="1"/>
      </rPr>
      <t xml:space="preserve">(Mpa)</t>
    </r>
  </si>
  <si>
    <t xml:space="preserve">냉온수 공급 온도</t>
  </si>
  <si>
    <t xml:space="preserve">MCC_#G</t>
  </si>
  <si>
    <t xml:space="preserve">geothermal_heat_pump(air-conditioning)_#1</t>
  </si>
  <si>
    <t xml:space="preserve">DG_Pump</t>
  </si>
  <si>
    <t xml:space="preserve">normal = 0 A (R,S,T)</t>
  </si>
  <si>
    <r>
      <rPr>
        <sz val="10"/>
        <color rgb="FF000000"/>
        <rFont val="Arial"/>
        <family val="0"/>
        <charset val="1"/>
      </rPr>
      <t xml:space="preserve">MCC_#G </t>
    </r>
    <r>
      <rPr>
        <sz val="10"/>
        <color rgb="FF000000"/>
        <rFont val="Noto Sans CJK SC"/>
        <family val="2"/>
        <charset val="1"/>
      </rPr>
      <t xml:space="preserve">점검표</t>
    </r>
  </si>
  <si>
    <r>
      <rPr>
        <sz val="10"/>
        <color rgb="FF000000"/>
        <rFont val="Noto Sans CJK SC"/>
        <family val="2"/>
        <charset val="1"/>
      </rPr>
      <t xml:space="preserve">디지털 모터보호제어장치</t>
    </r>
    <r>
      <rPr>
        <sz val="10"/>
        <color rgb="FF000000"/>
        <rFont val="Arial"/>
        <family val="2"/>
        <charset val="1"/>
      </rPr>
      <t xml:space="preserve">(IMCIMP-C) </t>
    </r>
    <r>
      <rPr>
        <sz val="10"/>
        <color rgb="FF000000"/>
        <rFont val="Noto Sans CJK SC"/>
        <family val="2"/>
        <charset val="1"/>
      </rPr>
      <t xml:space="preserve">정상작동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</si>
  <si>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숫자 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숫자</t>
    </r>
    <r>
      <rPr>
        <sz val="10"/>
        <color rgb="FF000000"/>
        <rFont val="Arial"/>
        <family val="0"/>
        <charset val="1"/>
      </rPr>
      <t xml:space="preserve">: </t>
    </r>
  </si>
  <si>
    <t xml:space="preserve">geothermal_heat_pump(air-conditioning)_#2</t>
  </si>
  <si>
    <t xml:space="preserve">normal = 5.8 A(R), 6.1 A(S), 6.4 A(T)</t>
  </si>
  <si>
    <t xml:space="preserve">geothermal_heat_pump(air-conditioning)_#3</t>
  </si>
  <si>
    <t xml:space="preserve">normal = 5.1 A(R), 6.1 A(S), 6.2 A(T)</t>
  </si>
  <si>
    <t xml:space="preserve">geothermal_heat_pump(air-conditioning)_#4</t>
  </si>
  <si>
    <t xml:space="preserve">geothermal_heat_pump(air-conditioning)_#5</t>
  </si>
  <si>
    <t xml:space="preserve">normal = 5.7 A(R), 6.3 A(S), 6.2 A(T)</t>
  </si>
  <si>
    <t xml:space="preserve">MCC_#F</t>
  </si>
  <si>
    <t xml:space="preserve">indoor_fire_hydrant_sprinkler_main_pump</t>
  </si>
  <si>
    <r>
      <rPr>
        <sz val="10"/>
        <color rgb="FF000000"/>
        <rFont val="Arial"/>
        <family val="0"/>
        <charset val="1"/>
      </rPr>
      <t xml:space="preserve">MCC_#F </t>
    </r>
    <r>
      <rPr>
        <sz val="10"/>
        <color rgb="FF000000"/>
        <rFont val="Noto Sans CJK SC"/>
        <family val="2"/>
        <charset val="1"/>
      </rPr>
      <t xml:space="preserve">점검표</t>
    </r>
  </si>
  <si>
    <t xml:space="preserve">LED_Green</t>
  </si>
  <si>
    <r>
      <rPr>
        <sz val="10"/>
        <color rgb="FF000000"/>
        <rFont val="Noto Sans CJK SC"/>
        <family val="2"/>
        <charset val="1"/>
      </rPr>
      <t xml:space="preserve">부분방전감지기</t>
    </r>
    <r>
      <rPr>
        <sz val="10"/>
        <color rgb="FF000000"/>
        <rFont val="Arial"/>
        <family val="2"/>
        <charset val="1"/>
      </rPr>
      <t xml:space="preserve">(G2PD-100) </t>
    </r>
    <r>
      <rPr>
        <sz val="10"/>
        <color rgb="FF000000"/>
        <rFont val="Noto Sans CJK SC"/>
        <family val="2"/>
        <charset val="1"/>
      </rPr>
      <t xml:space="preserve">정상 계측값</t>
    </r>
  </si>
  <si>
    <r>
      <rPr>
        <sz val="10"/>
        <color rgb="FF000000"/>
        <rFont val="Arial"/>
        <family val="0"/>
        <charset val="1"/>
      </rPr>
      <t xml:space="preserve">MCC_#E </t>
    </r>
    <r>
      <rPr>
        <sz val="10"/>
        <color rgb="FF000000"/>
        <rFont val="Noto Sans CJK SC"/>
        <family val="2"/>
        <charset val="1"/>
      </rPr>
      <t xml:space="preserve">점검표</t>
    </r>
  </si>
  <si>
    <t xml:space="preserve">LED_Red</t>
  </si>
  <si>
    <t xml:space="preserve">geothermal_heat_pump_control_panel_#1</t>
  </si>
  <si>
    <t xml:space="preserve">geothermal_heat_pump_control_panel_#2</t>
  </si>
  <si>
    <t xml:space="preserve">Sw_Pump_Center</t>
  </si>
  <si>
    <t xml:space="preserve">geothermal_heat_pump_control_panel_#3</t>
  </si>
  <si>
    <t xml:space="preserve">SPARE</t>
  </si>
  <si>
    <t xml:space="preserve">-</t>
  </si>
  <si>
    <t xml:space="preserve">indoor_fire_hydrant_sprinkler_auxiliary_pump</t>
  </si>
  <si>
    <t xml:space="preserve">indoor_fire_hydrant_sprinkler_main_pump(spare)</t>
  </si>
  <si>
    <t xml:space="preserve">geothermal_heat_pump_control_panel_#4</t>
  </si>
  <si>
    <t xml:space="preserve">SPARE(geothermal_heat_panel)</t>
  </si>
  <si>
    <t xml:space="preserve">Sw_Pump_Left</t>
  </si>
  <si>
    <t xml:space="preserve">analog_gauge_left</t>
  </si>
  <si>
    <t xml:space="preserve">AG_Pressure01_P-0-1</t>
  </si>
  <si>
    <t xml:space="preserve">normal = 0.14 Mpa</t>
  </si>
  <si>
    <r>
      <rPr>
        <sz val="10"/>
        <color rgb="FF000000"/>
        <rFont val="Noto Sans CJK SC"/>
        <family val="2"/>
        <charset val="1"/>
      </rPr>
      <t xml:space="preserve">현재 압력 및 이상유무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펌프의 가동상태 및 소음ㆍ진동여부</t>
    </r>
  </si>
  <si>
    <t xml:space="preserve">분기</t>
  </si>
  <si>
    <t xml:space="preserve">analog_gauge_right</t>
  </si>
  <si>
    <r>
      <rPr>
        <sz val="10"/>
        <color rgb="FF000000"/>
        <rFont val="Noto Sans CJK SC"/>
        <family val="2"/>
        <charset val="1"/>
      </rPr>
      <t xml:space="preserve">배관의 누수</t>
    </r>
    <r>
      <rPr>
        <sz val="10"/>
        <color rgb="FF000000"/>
        <rFont val="Arial"/>
        <family val="2"/>
        <charset val="1"/>
      </rPr>
      <t xml:space="preserve">,</t>
    </r>
    <r>
      <rPr>
        <sz val="10"/>
        <color rgb="FF000000"/>
        <rFont val="Noto Sans CJK SC"/>
        <family val="2"/>
        <charset val="1"/>
      </rPr>
      <t xml:space="preserve">부식</t>
    </r>
  </si>
  <si>
    <t xml:space="preserve">MCC_#E</t>
  </si>
  <si>
    <t xml:space="preserve">machine_room_hot_water_circulation_pump</t>
  </si>
  <si>
    <t xml:space="preserve">normal = 0 A (S)</t>
  </si>
  <si>
    <t xml:space="preserve">machine_room_drain_pump</t>
  </si>
  <si>
    <t xml:space="preserve">machine_room_drain_pump(sequence)</t>
  </si>
  <si>
    <t xml:space="preserve">permanent_dewatering_pump</t>
  </si>
  <si>
    <t xml:space="preserve">permanent_dewatering_pump(sequence)</t>
  </si>
  <si>
    <t xml:space="preserve">electrical_room_supply_fan</t>
  </si>
  <si>
    <t xml:space="preserve">electrical_room_drain_fan</t>
  </si>
  <si>
    <t xml:space="preserve">CO2_fire_extinguisher_room_supply_drain_fan</t>
  </si>
  <si>
    <t xml:space="preserve">normal = 0 A (T)</t>
  </si>
  <si>
    <t xml:space="preserve">Clean_agent_room_supply_fan</t>
  </si>
  <si>
    <t xml:space="preserve">normal = 0 A (R)</t>
  </si>
  <si>
    <t xml:space="preserve">drain_pump_control_panel</t>
  </si>
  <si>
    <t xml:space="preserve">펌프배관설비점검표</t>
  </si>
  <si>
    <t xml:space="preserve">고수위 등 각종 경보 동작상채</t>
  </si>
  <si>
    <t xml:space="preserve">machine_room_hot_water_circulation_pump(spare)</t>
  </si>
  <si>
    <t xml:space="preserve">normal = 1 A (R), 0 A (T)</t>
  </si>
  <si>
    <t xml:space="preserve">machine_room_supply_fan</t>
  </si>
  <si>
    <t xml:space="preserve">machine_room_drain_fan</t>
  </si>
  <si>
    <t xml:space="preserve">battery_room_supply_fan</t>
  </si>
  <si>
    <t xml:space="preserve">generator_room_supply_fan</t>
  </si>
  <si>
    <t xml:space="preserve">generator_room_drain_fan</t>
  </si>
  <si>
    <t xml:space="preserve">UPS_room_supply_fan</t>
  </si>
  <si>
    <t xml:space="preserve">battery_room_drain_fan</t>
  </si>
  <si>
    <t xml:space="preserve">Clean_agent_room_drain_fan</t>
  </si>
  <si>
    <t xml:space="preserve">fuel_tank_room_supply_fan</t>
  </si>
  <si>
    <t xml:space="preserve">fuel_tank_room_drain_fan</t>
  </si>
  <si>
    <t xml:space="preserve">fuel_tank_room_inspection_cover_supply_drain_fan</t>
  </si>
  <si>
    <t xml:space="preserve">UPS_room_drain_fan</t>
  </si>
  <si>
    <t xml:space="preserve">MCC_panel</t>
  </si>
  <si>
    <r>
      <rPr>
        <sz val="10"/>
        <color rgb="FF000000"/>
        <rFont val="Arial"/>
        <family val="2"/>
        <charset val="1"/>
      </rPr>
      <t xml:space="preserve">MCC_</t>
    </r>
    <r>
      <rPr>
        <sz val="10"/>
        <color rgb="FF000000"/>
        <rFont val="맑은 고딕"/>
        <family val="3"/>
        <charset val="1"/>
      </rPr>
      <t xml:space="preserve">점검표</t>
    </r>
  </si>
  <si>
    <t xml:space="preserve">결로현상 및 누수상태</t>
  </si>
  <si>
    <r>
      <rPr>
        <sz val="10"/>
        <color rgb="FF000000"/>
        <rFont val="Noto Sans CJK SC"/>
        <family val="2"/>
        <charset val="1"/>
      </rPr>
      <t xml:space="preserve">디지털 집중표시장치</t>
    </r>
    <r>
      <rPr>
        <sz val="10"/>
        <color rgb="FF000000"/>
        <rFont val="Arial"/>
        <family val="2"/>
        <charset val="1"/>
      </rPr>
      <t xml:space="preserve">(GIMAC-1000) </t>
    </r>
    <r>
      <rPr>
        <sz val="10"/>
        <color rgb="FF000000"/>
        <rFont val="Noto Sans CJK SC"/>
        <family val="2"/>
        <charset val="1"/>
      </rPr>
      <t xml:space="preserve">정상 계측값</t>
    </r>
  </si>
  <si>
    <t xml:space="preserve"> </t>
  </si>
  <si>
    <t xml:space="preserve">UPS_room</t>
  </si>
  <si>
    <t xml:space="preserve">Input_MCCB_and_BPS_ACB(MBP-1B)</t>
  </si>
  <si>
    <r>
      <rPr>
        <sz val="10"/>
        <color rgb="FF000000"/>
        <rFont val="Noto Sans CJK SC"/>
        <family val="2"/>
        <charset val="1"/>
      </rPr>
      <t xml:space="preserve">배전반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Noto Sans CJK SC"/>
        <family val="2"/>
        <charset val="1"/>
      </rPr>
      <t xml:space="preserve">보호 및 제어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Noto Sans CJK SC"/>
        <family val="2"/>
        <charset val="1"/>
      </rPr>
      <t xml:space="preserve">의 계기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경보장치 이상 동기상태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동기절체상태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램프표시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비상정지장치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2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전류 등</t>
    </r>
    <r>
      <rPr>
        <sz val="10"/>
        <color rgb="FF000000"/>
        <rFont val="Arial"/>
        <family val="2"/>
        <charset val="1"/>
      </rPr>
      <t xml:space="preserve">)  </t>
    </r>
    <r>
      <rPr>
        <sz val="10"/>
        <color rgb="FF000000"/>
        <rFont val="Noto Sans CJK SC"/>
        <family val="2"/>
        <charset val="1"/>
      </rPr>
      <t xml:space="preserve">유무 확인 </t>
    </r>
  </si>
  <si>
    <t xml:space="preserve">UPS_600KVA_1B-1</t>
  </si>
  <si>
    <t xml:space="preserve">Control_panel(1B-1_UPS)</t>
  </si>
  <si>
    <t xml:space="preserve">DG_UPS-600KVA</t>
  </si>
  <si>
    <r>
      <rPr>
        <sz val="10"/>
        <color rgb="FF000000"/>
        <rFont val="Arial"/>
        <family val="0"/>
        <charset val="1"/>
      </rPr>
      <t xml:space="preserve">KDN </t>
    </r>
    <r>
      <rPr>
        <sz val="10"/>
        <color rgb="FF000000"/>
        <rFont val="Noto Sans CJK SC"/>
        <family val="2"/>
        <charset val="1"/>
      </rPr>
      <t xml:space="preserve">업무 이전</t>
    </r>
    <r>
      <rPr>
        <sz val="10"/>
        <color rgb="FF000000"/>
        <rFont val="Arial"/>
        <family val="2"/>
        <charset val="1"/>
      </rPr>
      <t xml:space="preserve">(FMS X)</t>
    </r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</si>
  <si>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입력은 하단부 좌측에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츨력은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바이패스는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</t>
    </r>
    <r>
      <rPr>
        <sz val="10"/>
        <color rgb="FF000000"/>
        <rFont val="Noto Sans CJK SC"/>
        <family val="2"/>
        <charset val="1"/>
      </rPr>
      <t xml:space="preserve">이 있어</t>
    </r>
    <r>
      <rPr>
        <sz val="10"/>
        <color rgb="FF000000"/>
        <rFont val="Arial"/>
        <family val="0"/>
        <charset val="1"/>
      </rPr>
      <t xml:space="preserve">, SOC</t>
    </r>
    <r>
      <rPr>
        <sz val="10"/>
        <color rgb="FF000000"/>
        <rFont val="Noto Sans CJK SC"/>
        <family val="2"/>
        <charset val="1"/>
      </rPr>
      <t xml:space="preserve">는 하단부 우측에 </t>
    </r>
    <r>
      <rPr>
        <sz val="10"/>
        <color rgb="FF000000"/>
        <rFont val="Arial"/>
        <family val="0"/>
        <charset val="1"/>
      </rPr>
      <t xml:space="preserve">SOC % </t>
    </r>
    <r>
      <rPr>
        <sz val="10"/>
        <color rgb="FF000000"/>
        <rFont val="Noto Sans CJK SC"/>
        <family val="2"/>
        <charset val="1"/>
      </rPr>
      <t xml:space="preserve">및 전압</t>
    </r>
    <r>
      <rPr>
        <sz val="10"/>
        <color rgb="FF000000"/>
        <rFont val="Arial"/>
        <family val="0"/>
        <charset val="1"/>
      </rPr>
      <t xml:space="preserve">(V),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숫자를 알려줘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입력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2) </t>
    </r>
    <r>
      <rPr>
        <sz val="10"/>
        <color rgb="FF000000"/>
        <rFont val="Noto Sans CJK SC"/>
        <family val="2"/>
        <charset val="1"/>
      </rPr>
      <t xml:space="preserve">출력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3) </t>
    </r>
    <r>
      <rPr>
        <sz val="10"/>
        <color rgb="FF000000"/>
        <rFont val="Noto Sans CJK SC"/>
        <family val="2"/>
        <charset val="1"/>
      </rPr>
      <t xml:space="preserve">바이패스 전압</t>
    </r>
    <r>
      <rPr>
        <sz val="10"/>
        <color rgb="FF000000"/>
        <rFont val="Arial"/>
        <family val="0"/>
        <charset val="1"/>
      </rPr>
      <t xml:space="preserve">(V) (R), (S), (T) 4) SOC: % (V), (A) </t>
    </r>
  </si>
  <si>
    <t xml:space="preserve">UPS_600KVA_1B-2</t>
  </si>
  <si>
    <t xml:space="preserve">Control_panel(1B-2_UPS)</t>
  </si>
  <si>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입력은 하단부 좌측에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츨력은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바이패스는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</t>
    </r>
    <r>
      <rPr>
        <sz val="10"/>
        <color rgb="FF000000"/>
        <rFont val="Noto Sans CJK SC"/>
        <family val="2"/>
        <charset val="1"/>
      </rPr>
      <t xml:space="preserve">이 있어</t>
    </r>
    <r>
      <rPr>
        <sz val="10"/>
        <color rgb="FF000000"/>
        <rFont val="Arial"/>
        <family val="0"/>
        <charset val="1"/>
      </rPr>
      <t xml:space="preserve">, SOC</t>
    </r>
    <r>
      <rPr>
        <sz val="10"/>
        <color rgb="FF000000"/>
        <rFont val="Noto Sans CJK SC"/>
        <family val="2"/>
        <charset val="1"/>
      </rPr>
      <t xml:space="preserve">는 하단부 우측에 </t>
    </r>
    <r>
      <rPr>
        <sz val="10"/>
        <color rgb="FF000000"/>
        <rFont val="Arial"/>
        <family val="0"/>
        <charset val="1"/>
      </rPr>
      <t xml:space="preserve">SOC % </t>
    </r>
    <r>
      <rPr>
        <sz val="10"/>
        <color rgb="FF000000"/>
        <rFont val="Noto Sans CJK SC"/>
        <family val="2"/>
        <charset val="1"/>
      </rPr>
      <t xml:space="preserve">및 전압</t>
    </r>
    <r>
      <rPr>
        <sz val="10"/>
        <color rgb="FF000000"/>
        <rFont val="Arial"/>
        <family val="0"/>
        <charset val="1"/>
      </rPr>
      <t xml:space="preserve">(V),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숫자를 알려줘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입력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2) </t>
    </r>
    <r>
      <rPr>
        <sz val="10"/>
        <color rgb="FF000000"/>
        <rFont val="Noto Sans CJK SC"/>
        <family val="2"/>
        <charset val="1"/>
      </rPr>
      <t xml:space="preserve">출력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3) </t>
    </r>
    <r>
      <rPr>
        <sz val="10"/>
        <color rgb="FF000000"/>
        <rFont val="Noto Sans CJK SC"/>
        <family val="2"/>
        <charset val="1"/>
      </rPr>
      <t xml:space="preserve">바이패스 전압</t>
    </r>
    <r>
      <rPr>
        <sz val="10"/>
        <color rgb="FF000000"/>
        <rFont val="Arial"/>
        <family val="0"/>
        <charset val="1"/>
      </rPr>
      <t xml:space="preserve">(V) (R), (S), (T) 4) SOC: % (V), (A) </t>
    </r>
  </si>
  <si>
    <t xml:space="preserve">Input_MCCB_and_BPS_ACB(MBP-1A)</t>
  </si>
  <si>
    <t xml:space="preserve">output_MCCB_and_BPS_ACB(MBP-1A)</t>
  </si>
  <si>
    <t xml:space="preserve">UPS_600KVA_1A-1</t>
  </si>
  <si>
    <t xml:space="preserve">Control_panel(1A-1_UPS)</t>
  </si>
  <si>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입력은 하단부 좌측에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츨력은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바이패스는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</t>
    </r>
    <r>
      <rPr>
        <sz val="10"/>
        <color rgb="FF000000"/>
        <rFont val="Noto Sans CJK SC"/>
        <family val="2"/>
        <charset val="1"/>
      </rPr>
      <t xml:space="preserve">이 있어</t>
    </r>
    <r>
      <rPr>
        <sz val="10"/>
        <color rgb="FF000000"/>
        <rFont val="Arial"/>
        <family val="0"/>
        <charset val="1"/>
      </rPr>
      <t xml:space="preserve">, SOC</t>
    </r>
    <r>
      <rPr>
        <sz val="10"/>
        <color rgb="FF000000"/>
        <rFont val="Noto Sans CJK SC"/>
        <family val="2"/>
        <charset val="1"/>
      </rPr>
      <t xml:space="preserve">는 하단부 우측에 </t>
    </r>
    <r>
      <rPr>
        <sz val="10"/>
        <color rgb="FF000000"/>
        <rFont val="Arial"/>
        <family val="0"/>
        <charset val="1"/>
      </rPr>
      <t xml:space="preserve">SOC % </t>
    </r>
    <r>
      <rPr>
        <sz val="10"/>
        <color rgb="FF000000"/>
        <rFont val="Noto Sans CJK SC"/>
        <family val="2"/>
        <charset val="1"/>
      </rPr>
      <t xml:space="preserve">및 전압</t>
    </r>
    <r>
      <rPr>
        <sz val="10"/>
        <color rgb="FF000000"/>
        <rFont val="Arial"/>
        <family val="0"/>
        <charset val="1"/>
      </rPr>
      <t xml:space="preserve">(V),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숫자를 알려줘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입력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2) </t>
    </r>
    <r>
      <rPr>
        <sz val="10"/>
        <color rgb="FF000000"/>
        <rFont val="Noto Sans CJK SC"/>
        <family val="2"/>
        <charset val="1"/>
      </rPr>
      <t xml:space="preserve">출력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3) </t>
    </r>
    <r>
      <rPr>
        <sz val="10"/>
        <color rgb="FF000000"/>
        <rFont val="Noto Sans CJK SC"/>
        <family val="2"/>
        <charset val="1"/>
      </rPr>
      <t xml:space="preserve">바이패스 전압</t>
    </r>
    <r>
      <rPr>
        <sz val="10"/>
        <color rgb="FF000000"/>
        <rFont val="Arial"/>
        <family val="0"/>
        <charset val="1"/>
      </rPr>
      <t xml:space="preserve">(V) (R), (S), (T) 4) SOC: % (V), (A) </t>
    </r>
  </si>
  <si>
    <t xml:space="preserve">UPS_600KVA_1A-2</t>
  </si>
  <si>
    <t xml:space="preserve">Control_panel(1A-2_UPS)</t>
  </si>
  <si>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  <charset val="1"/>
      </rPr>
      <t xml:space="preserve">줄만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형식고정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이유설명금지</t>
    </r>
    <r>
      <rPr>
        <sz val="10"/>
        <color rgb="FF000000"/>
        <rFont val="Arial"/>
        <family val="0"/>
        <charset val="1"/>
      </rPr>
      <t xml:space="preserve">. </t>
    </r>
    <r>
      <rPr>
        <sz val="10"/>
        <color rgb="FF000000"/>
        <rFont val="Noto Sans CJK SC"/>
        <family val="2"/>
        <charset val="1"/>
      </rPr>
      <t xml:space="preserve">입력은 하단부 좌측에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츨력은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 </t>
    </r>
    <r>
      <rPr>
        <sz val="10"/>
        <color rgb="FF000000"/>
        <rFont val="Noto Sans CJK SC"/>
        <family val="2"/>
        <charset val="1"/>
      </rPr>
      <t xml:space="preserve">및 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바이패스는 그 아래에 </t>
    </r>
    <r>
      <rPr>
        <sz val="10"/>
        <color rgb="FF000000"/>
        <rFont val="Arial"/>
        <family val="0"/>
        <charset val="1"/>
      </rPr>
      <t xml:space="preserve">R S T </t>
    </r>
    <r>
      <rPr>
        <sz val="10"/>
        <color rgb="FF000000"/>
        <rFont val="Noto Sans CJK SC"/>
        <family val="2"/>
        <charset val="1"/>
      </rPr>
      <t xml:space="preserve">전압</t>
    </r>
    <r>
      <rPr>
        <sz val="10"/>
        <color rgb="FF000000"/>
        <rFont val="Arial"/>
        <family val="0"/>
        <charset val="1"/>
      </rPr>
      <t xml:space="preserve">(V)</t>
    </r>
    <r>
      <rPr>
        <sz val="10"/>
        <color rgb="FF000000"/>
        <rFont val="Noto Sans CJK SC"/>
        <family val="2"/>
        <charset val="1"/>
      </rPr>
      <t xml:space="preserve">이 있어</t>
    </r>
    <r>
      <rPr>
        <sz val="10"/>
        <color rgb="FF000000"/>
        <rFont val="Arial"/>
        <family val="0"/>
        <charset val="1"/>
      </rPr>
      <t xml:space="preserve">, SOC</t>
    </r>
    <r>
      <rPr>
        <sz val="10"/>
        <color rgb="FF000000"/>
        <rFont val="Noto Sans CJK SC"/>
        <family val="2"/>
        <charset val="1"/>
      </rPr>
      <t xml:space="preserve">는 하단부 우측에 </t>
    </r>
    <r>
      <rPr>
        <sz val="10"/>
        <color rgb="FF000000"/>
        <rFont val="Arial"/>
        <family val="0"/>
        <charset val="1"/>
      </rPr>
      <t xml:space="preserve">SOC % </t>
    </r>
    <r>
      <rPr>
        <sz val="10"/>
        <color rgb="FF000000"/>
        <rFont val="Noto Sans CJK SC"/>
        <family val="2"/>
        <charset val="1"/>
      </rPr>
      <t xml:space="preserve">및 전압</t>
    </r>
    <r>
      <rPr>
        <sz val="10"/>
        <color rgb="FF000000"/>
        <rFont val="Arial"/>
        <family val="0"/>
        <charset val="1"/>
      </rPr>
      <t xml:space="preserve">(V),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  <charset val="1"/>
      </rPr>
      <t xml:space="preserve">가 있어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  <charset val="1"/>
      </rPr>
      <t xml:space="preserve">숫자를 알려줘</t>
    </r>
    <r>
      <rPr>
        <sz val="10"/>
        <color rgb="FF000000"/>
        <rFont val="Arial"/>
        <family val="0"/>
        <charset val="1"/>
      </rPr>
      <t xml:space="preserve">. 1) </t>
    </r>
    <r>
      <rPr>
        <sz val="10"/>
        <color rgb="FF000000"/>
        <rFont val="Noto Sans CJK SC"/>
        <family val="2"/>
        <charset val="1"/>
      </rPr>
      <t xml:space="preserve">입력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2) </t>
    </r>
    <r>
      <rPr>
        <sz val="10"/>
        <color rgb="FF000000"/>
        <rFont val="Noto Sans CJK SC"/>
        <family val="2"/>
        <charset val="1"/>
      </rPr>
      <t xml:space="preserve">출력 전압</t>
    </r>
    <r>
      <rPr>
        <sz val="10"/>
        <color rgb="FF000000"/>
        <rFont val="Arial"/>
        <family val="0"/>
        <charset val="1"/>
      </rPr>
      <t xml:space="preserve">(V) (R), (S), (T) , </t>
    </r>
    <r>
      <rPr>
        <sz val="10"/>
        <color rgb="FF000000"/>
        <rFont val="Noto Sans CJK SC"/>
        <family val="2"/>
        <charset val="1"/>
      </rPr>
      <t xml:space="preserve">전류</t>
    </r>
    <r>
      <rPr>
        <sz val="10"/>
        <color rgb="FF000000"/>
        <rFont val="Arial"/>
        <family val="0"/>
        <charset val="1"/>
      </rPr>
      <t xml:space="preserve">(A): (R), (S), (T) 3) </t>
    </r>
    <r>
      <rPr>
        <sz val="10"/>
        <color rgb="FF000000"/>
        <rFont val="Noto Sans CJK SC"/>
        <family val="2"/>
        <charset val="1"/>
      </rPr>
      <t xml:space="preserve">바이패스 전압</t>
    </r>
    <r>
      <rPr>
        <sz val="10"/>
        <color rgb="FF000000"/>
        <rFont val="Arial"/>
        <family val="0"/>
        <charset val="1"/>
      </rPr>
      <t xml:space="preserve">(V) (R), (S), (T) 4) SOC: % (V), (A) </t>
    </r>
  </si>
  <si>
    <t xml:space="preserve">output_MCCB_and_BPS_ACB(MBP-1B)</t>
  </si>
  <si>
    <t xml:space="preserve">New Label</t>
  </si>
  <si>
    <t xml:space="preserve">Old Label</t>
  </si>
  <si>
    <t xml:space="preserve">AG_Pressure_Fire_Extinguisher</t>
  </si>
  <si>
    <t xml:space="preserve">AG_Pressure_Fire-extingusher</t>
  </si>
  <si>
    <t xml:space="preserve">DG_UPS-100kVA</t>
  </si>
  <si>
    <t xml:space="preserve">LED_Green_on</t>
  </si>
  <si>
    <t xml:space="preserve">LED_Green-dot_off</t>
  </si>
  <si>
    <t xml:space="preserve">LED_Red_on</t>
  </si>
  <si>
    <t xml:space="preserve">LED_Yellow_on</t>
  </si>
  <si>
    <t xml:space="preserve">LED_Panel-green-dot_on</t>
  </si>
  <si>
    <t xml:space="preserve">LED_Panel-red-dot_off</t>
  </si>
  <si>
    <t xml:space="preserve">LED_Panel_on</t>
  </si>
  <si>
    <t xml:space="preserve">LED_PD_off</t>
  </si>
  <si>
    <t xml:space="preserve">LED_DMFR_fault</t>
  </si>
  <si>
    <t xml:space="preserve">LED_DELD_fault</t>
  </si>
  <si>
    <t xml:space="preserve">LED_Controller</t>
  </si>
  <si>
    <t xml:space="preserve">LED_Controller_fault</t>
  </si>
  <si>
    <t xml:space="preserve">Sw_Valve_Closed</t>
  </si>
  <si>
    <t xml:space="preserve">Sw_Valve_Opened</t>
  </si>
  <si>
    <t xml:space="preserve">Sw_Round-dot_Center</t>
  </si>
  <si>
    <t xml:space="preserve">Sw_Round-dot_Right</t>
  </si>
  <si>
    <t xml:space="preserve">Etc_Fire_Extinguisher_NA</t>
  </si>
  <si>
    <t xml:space="preserve">Etc_Fire_Hydrant-sign_NA</t>
  </si>
  <si>
    <t xml:space="preserve">(empty)</t>
  </si>
  <si>
    <t xml:space="preserve"> ["AG_Pressure_Fire-extinguisher", "AG_Pressure_Fire-extingusher", "AG_Pressure_Fire-extingusher_NA","AG_Pressure_Fire-extinguisher_NA"],</t>
  </si>
  <si>
    <t xml:space="preserve">AG_Thermo-hygro_NA_NA",
    "AG_Pressure01_P-0-1</t>
  </si>
  <si>
    <t xml:space="preserve"> ["AG_Pressure01_NA_NA","AG_Pressure02_NA_NA","AG_Pressure03_NA_NA","AG_Pressure04_NA_NA","AG_Pressure05_NA_NA","AG_Pressure06_NA_NA","AG_Pressure07_NA_NA"],</t>
  </si>
  <si>
    <t xml:space="preserve">AG_Temperature_NA_NA",
    "AG_Ammeter01_A-0-300</t>
  </si>
  <si>
    <t xml:space="preserve">AG_Ammeter01_AC_NA",
    "AG_Ammeter02_A-0-30</t>
  </si>
  <si>
    <t xml:space="preserve">AG_Ammeter02_AC_NA",
    "AG_Voltimeter_V-0-30</t>
  </si>
  <si>
    <t xml:space="preserve">AG_Voltimeter_AC_NA",
    "AG_Ammeter03_A-0-100</t>
  </si>
  <si>
    <t xml:space="preserve"> ["AG_Ammeter03_AC_NA","AG_Ammeter04_AC_NA"],</t>
  </si>
  <si>
    <t xml:space="preserve">DG_Temp_Air-Conditioner_NA",
    "DG_Digital_Multi_Function_Relay</t>
  </si>
  <si>
    <t xml:space="preserve">DG_VA_NA_NA",
    "DG_Digital_Meter</t>
  </si>
  <si>
    <t xml:space="preserve">DG_VAP_Meter_NA",
    "DG_Gen-Status</t>
  </si>
  <si>
    <t xml:space="preserve">DG_Gen-Status_Alt-Eng_NA",
    "DG_Pump</t>
  </si>
  <si>
    <t xml:space="preserve">DG_Pump_ME_NA",
    "DG_Electric_Water_Heater</t>
  </si>
  <si>
    <t xml:space="preserve">DG_Heater_Temp_NA",
    "DG_Boost-pump</t>
  </si>
  <si>
    <t xml:space="preserve">DG_Boost-pump_bar_NA",
    "DG_Digital_Integrated_Meter</t>
  </si>
  <si>
    <t xml:space="preserve">DG_Va-Ia-P-UH_V-A-P-Mwh_NA",
    "DG_TR_temp</t>
  </si>
  <si>
    <t xml:space="preserve"> ["DG_Tr-Temp_C_NA","DG_Pump_ME_NA"],</t>
  </si>
  <si>
    <t xml:space="preserve">DG_Controller</t>
  </si>
  <si>
    <t xml:space="preserve">DG_Temp-Humi01_C-per_NA",
    "DG_REC-KY-1500</t>
  </si>
  <si>
    <t xml:space="preserve">DG_Temp-Humi02_C-per_NA",
    "DG_Thermo-hygro</t>
  </si>
  <si>
    <t xml:space="preserve">DG_DC-Volt_V_NA",
    "DG_UPS_600KVA</t>
  </si>
  <si>
    <t xml:space="preserve">DG_TR-Temp_C_NA",
    "DG_Thermo-hygro</t>
  </si>
  <si>
    <t xml:space="preserve">DG_ACV-DCV-OCA_V-V-A_NA",
    "DG_PB_max</t>
  </si>
  <si>
    <t xml:space="preserve">DG_PB-Demend_R_NA",
    "DG_UPS_100KVA</t>
  </si>
  <si>
    <t xml:space="preserve">DG_RST-RST_VVV-VVV-AAA_NA",
    "DG_BMS</t>
  </si>
  <si>
    <t xml:space="preserve">DG_Va-Ia-P-UH_V-A-P-Mwh_NA",
    "DG_Vab-bc-ca_kV_NA</t>
  </si>
  <si>
    <t xml:space="preserve">DG_Vab-bc-ca_kV_NA",
    "LED_Green_off</t>
  </si>
  <si>
    <t xml:space="preserve"> ["LED_Green_off_nok","LED_Green_off_ok"],</t>
  </si>
  <si>
    <t xml:space="preserve"> ["LED_Green_on_nok","LED_Green_on_ok"],</t>
  </si>
  <si>
    <t xml:space="preserve"> ["LED_Green_off_nok","LED_Green_off_ok","LED_Green_on_nok","LED_Green_on_ok"],</t>
  </si>
  <si>
    <t xml:space="preserve"> ["LED_Green-dot_off_nok", "LED_Green-dot_off_ok"],</t>
  </si>
  <si>
    <t xml:space="preserve"> ["LED_Green-dot_on_nok","LED_Green-dot_on_nok"],</t>
  </si>
  <si>
    <t xml:space="preserve">LED_Green-dot</t>
  </si>
  <si>
    <t xml:space="preserve"> ["LED_Green-dot_off_nok", "LED_Green-dot_off_ok", "LED_Green-dot_on_nok","LED_Green-dot_on_nok"],</t>
  </si>
  <si>
    <t xml:space="preserve"> ["LED_Red_off_nok","LED_Red_off_ok"],</t>
  </si>
  <si>
    <t xml:space="preserve"> ["LED_Red_on_nok","LED_Red_on_ok"],</t>
  </si>
  <si>
    <t xml:space="preserve"> ["LED_Red_off_nok","LED_Red_off_ok", "LED_Red_on_nok","LED_Red_on_ok"],</t>
  </si>
  <si>
    <t xml:space="preserve"> ["LED_Red-dot_off_nok","LED_Red-dot_off_ok"],</t>
  </si>
  <si>
    <t xml:space="preserve"> ["LED_Red-dot_on_nok","LED_Red-dot_on_ok"],</t>
  </si>
  <si>
    <t xml:space="preserve">LED_Red-dot</t>
  </si>
  <si>
    <t xml:space="preserve"> ["LED_Red-dot_off_nok","LED_Red-dot_off_ok", "LED_Red-dot_on_nok","LED_Red-dot_on_ok"],</t>
  </si>
  <si>
    <t xml:space="preserve"> ["LED_Yellow_off_ok","LED_Yellow_off_nok"],</t>
  </si>
  <si>
    <t xml:space="preserve"> ["LED_Yellow_on_ok","LED_Yellow_on_nok"],</t>
  </si>
  <si>
    <t xml:space="preserve"> ["LED_Panel-green-dot_off_ok","LED_Panel-green-dot_off_nok"],</t>
  </si>
  <si>
    <t xml:space="preserve"> ["LED_Panel-green-dot_on_ok","LED_Panel-green-dot_on_nok"],</t>
  </si>
  <si>
    <t xml:space="preserve">LED_Panel-green-dot</t>
  </si>
  <si>
    <t xml:space="preserve"> ["LED_Panel-green-dot_on_ok","LED_Panel-green-dot_on_nok", "LED_Panel-green-dot_off_ok","LED_Panel-green-dot_off_nok"],</t>
  </si>
  <si>
    <t xml:space="preserve"> ["LED_Panel-red-dot_on_ok","LED_Panel-red-dot_on_nok"],</t>
  </si>
  <si>
    <t xml:space="preserve"> ["LED_Panel-red-dot_off_ok","LED_Panel-red-dot_off_nok"],</t>
  </si>
  <si>
    <t xml:space="preserve">LED_Panel-red-dot</t>
  </si>
  <si>
    <t xml:space="preserve"> ["LED_Panel-red-dot_on_ok","LED_Panel-red-dot_on_nok","LED_Panel-red-dot_off_ok","LED_Panel-red-dot_off_nok"],</t>
  </si>
  <si>
    <t xml:space="preserve"> ["LED_Panel_off_ok","LED_Panel_off_nok"],</t>
  </si>
  <si>
    <t xml:space="preserve"> ["LED_Panel_on_ok","LED_Panel_on_nok"],</t>
  </si>
  <si>
    <t xml:space="preserve">LED_Panel</t>
  </si>
  <si>
    <t xml:space="preserve">  ["LED_Panel_off_ok","LED_Panel_off_nok","LED_Panel_on_ok","LED_Panel_on_nok"],</t>
  </si>
  <si>
    <t xml:space="preserve"> ["LED_PD_on_ok","LED_PD_on_nok"],</t>
  </si>
  <si>
    <t xml:space="preserve"> ["LED_PD_off_ok","LED_PD_off_nok"],</t>
  </si>
  <si>
    <t xml:space="preserve">LED_PD</t>
  </si>
  <si>
    <t xml:space="preserve"> ["LED_PD_on_ok","LED_PD_on_nok","LED_PD_off_ok","LED_PD_off_nok"],</t>
  </si>
  <si>
    <t xml:space="preserve"> ["LED_Leakage_Green-on_ok","LED_Leakage_Green-on_ok"],</t>
  </si>
  <si>
    <t xml:space="preserve">LED_DMFR_Run-on</t>
  </si>
  <si>
    <t xml:space="preserve">LED_DMFR_Run-on_ok",
    "LED_DMFR_run-off</t>
  </si>
  <si>
    <t xml:space="preserve">LED_PD-Detector_off_ok",
    "LED_DELD_PAB-on</t>
  </si>
  <si>
    <t xml:space="preserve">LED_PD-Detector_off_ok",
    "LED_DELD_PAB-off</t>
  </si>
  <si>
    <t xml:space="preserve">LED_PD-Detector_off_ok",
    "LED_Controller</t>
  </si>
  <si>
    <t xml:space="preserve">LED_PD-Detector_off_ok",
    "Sw_Nobe-dot_Left_ok</t>
  </si>
  <si>
    <t xml:space="preserve">Sw_Nobe-dot_Left_ok",
    "Sw_Nobe-dot_Center_ok</t>
  </si>
  <si>
    <t xml:space="preserve">Sw_Nobe-dot_Center_ok",
    "Sw_Nobe-dot_Right_ok</t>
  </si>
  <si>
    <t xml:space="preserve">Sw_Nobe-dot_Right_ok",
    "Sw_Nobe-dot_Left_nok</t>
  </si>
  <si>
    <t xml:space="preserve">Sw_Nobe-dot_Left_nok",
    "Sw_Nobe-dot_Center_nok</t>
  </si>
  <si>
    <t xml:space="preserve">Sw_Nobe-dot_Center_nok",
    "Sw_Nobe-dot_Right_nok</t>
  </si>
  <si>
    <t xml:space="preserve">Sw_Nobe-dot_Right_nok",
    "Sw_Nobe_Left</t>
  </si>
  <si>
    <t xml:space="preserve">Sw_Nobe_Left_ok",
    "Sw_Nobe_Center</t>
  </si>
  <si>
    <t xml:space="preserve">Sw_Nobe_Center_ok",
    "Sw_Nobe_Right</t>
  </si>
  <si>
    <t xml:space="preserve">Sw_Nobe_Right_ok",
    "Sw_Nobe_Left</t>
  </si>
  <si>
    <t xml:space="preserve">Sw_Nobe_Left_nok",
    "Sw_Nobe_Center</t>
  </si>
  <si>
    <t xml:space="preserve">Sw_Nobe_Center_nok",
    "Sw_Nobe_Right</t>
  </si>
  <si>
    <t xml:space="preserve">Sw_Nobe_Right_nok",
    "Sw_Pump_Left</t>
  </si>
  <si>
    <t xml:space="preserve">Sw_Pump_Left_ok",
    "Sw_Pump_Center</t>
  </si>
  <si>
    <t xml:space="preserve">Sw_Pump_Center_ok",
    "Sw_Pump_Right</t>
  </si>
  <si>
    <t xml:space="preserve">Sw_Pump_Right_ok",
    "Sw_Round-dot_Left_nok</t>
  </si>
  <si>
    <t xml:space="preserve">Sw_Round-dot_Left_nok",
    "Sw_Round-dot_Center_nok</t>
  </si>
  <si>
    <t xml:space="preserve">Sw_Round-dot_Center_nok",
    "Sw_Round-dot_Right_nok</t>
  </si>
  <si>
    <t xml:space="preserve">Sw_Round-dot_Right_nok",
    "Sw_Round_Left</t>
  </si>
  <si>
    <t xml:space="preserve">Sw_Round_Left_ok",
    "Sw_Round_Center</t>
  </si>
  <si>
    <t xml:space="preserve">Sw_Round_Center_ok",
    "Sw_Round_Right</t>
  </si>
  <si>
    <t xml:space="preserve">Sw_Round_Right_ok",
    "Sw_Round_Left</t>
  </si>
  <si>
    <t xml:space="preserve">Sw_Round_Left_nok",
    "Sw_Round_Center</t>
  </si>
  <si>
    <t xml:space="preserve">Sw_Round_Center_nok",
    "Sw_Round_Right</t>
  </si>
  <si>
    <t xml:space="preserve">Sw_Round_Right_nok",
    "Sw_Valve_Closed</t>
  </si>
  <si>
    <t xml:space="preserve"> ["Valve_Valve_Closed_ok","Valve_Valve_Opened_ok"],</t>
  </si>
  <si>
    <t xml:space="preserve">Etc_Fire-Extinguisher_NA_NA",
    "ETC_Fire_Hydrant-sign</t>
  </si>
  <si>
    <t xml:space="preserve">Etc_Fire_Hydrant-sign_NA_NA",
    "ETC_Outlet_No-plug_ok</t>
  </si>
  <si>
    <t xml:space="preserve">Etc_Outlet_No-plug_ok",
    "Class_C-Duct_Clean_ok</t>
  </si>
  <si>
    <t xml:space="preserve">Class_C-Duct_Clean_ok",
    "Class_W-Tank_Gauge_ok</t>
  </si>
  <si>
    <t xml:space="preserve">Class_W-Tank_Gauge_ok",
    "Class_D-Gen_No-oil_ok</t>
  </si>
  <si>
    <t xml:space="preserve">Class_D-Gen_No-oil_ok",
    "Class_Plumb_Clean_ok</t>
  </si>
  <si>
    <t xml:space="preserve">Class_Plumb_Clean_ok",
    "Class_W-Drains_Clean_ok</t>
  </si>
  <si>
    <t xml:space="preserve">Class_W-Drains_Clean_ok</t>
  </si>
  <si>
    <t xml:space="preserve">Total Result</t>
  </si>
  <si>
    <t xml:space="preserve">NO</t>
  </si>
  <si>
    <t xml:space="preserve">Conc_String</t>
  </si>
  <si>
    <t xml:space="preserve">진단시스템 테그</t>
  </si>
  <si>
    <t xml:space="preserve">중간분리</t>
  </si>
  <si>
    <t xml:space="preserve">YOLO Label 1</t>
  </si>
  <si>
    <t xml:space="preserve">YOLO Label 2</t>
  </si>
  <si>
    <t xml:space="preserve">YOLO Label 3</t>
  </si>
  <si>
    <t xml:space="preserve">YOLO Label 4</t>
  </si>
  <si>
    <t xml:space="preserve">YOLO Label 5</t>
  </si>
  <si>
    <t xml:space="preserve">YOLO Label 6</t>
  </si>
  <si>
    <t xml:space="preserve">YOLO Label 7</t>
  </si>
  <si>
    <t xml:space="preserve">A</t>
  </si>
  <si>
    <t xml:space="preserve">“:[”</t>
  </si>
  <si>
    <t xml:space="preserve">B</t>
  </si>
  <si>
    <t xml:space="preserve">c</t>
  </si>
  <si>
    <t xml:space="preserve">d</t>
  </si>
  <si>
    <t xml:space="preserve">f</t>
  </si>
  <si>
    <t xml:space="preserve">g</t>
  </si>
  <si>
    <t xml:space="preserve">h</t>
  </si>
  <si>
    <t xml:space="preserve">AG_Ammeter01_AC_NA</t>
  </si>
  <si>
    <t xml:space="preserve">AG_Ammeter02_AC_NA</t>
  </si>
  <si>
    <t xml:space="preserve">AG_Ammeter03_AC_NA</t>
  </si>
  <si>
    <t xml:space="preserve">AG_Ammeter04_AC_NA</t>
  </si>
  <si>
    <t xml:space="preserve"> AG_Pressure_Fire-extingusher_NA</t>
  </si>
  <si>
    <t xml:space="preserve">AG_Pressure_Fire-extinguisher_NA</t>
  </si>
  <si>
    <t xml:space="preserve">AG_Pressure01_NA_NA</t>
  </si>
  <si>
    <t xml:space="preserve">AG_Pressure02_NA_NA</t>
  </si>
  <si>
    <t xml:space="preserve">AG_Pressure03_NA_NA</t>
  </si>
  <si>
    <t xml:space="preserve">AG_Pressure04_NA_NA</t>
  </si>
  <si>
    <t xml:space="preserve">AG_Pressure05_NA_NA</t>
  </si>
  <si>
    <t xml:space="preserve">AG_Pressure06_NA_NA</t>
  </si>
  <si>
    <t xml:space="preserve">AG_Pressure07_NA_NA</t>
  </si>
  <si>
    <t xml:space="preserve">AG_Temperature_NA_NA</t>
  </si>
  <si>
    <t xml:space="preserve">AG_Thermo-hygro_NA_NA</t>
  </si>
  <si>
    <t xml:space="preserve">AG_Voltimeter_AC_NA</t>
  </si>
  <si>
    <t xml:space="preserve">Class_C-Duct_Clean_ok</t>
  </si>
  <si>
    <t xml:space="preserve">Class_D-Gen_No-oil_ok</t>
  </si>
  <si>
    <t xml:space="preserve">Class_Plumb_Clean_ok</t>
  </si>
  <si>
    <t xml:space="preserve">Class_W-Tank_Gauge_ok</t>
  </si>
  <si>
    <t xml:space="preserve">DG_Temp_Air-Conditioner_NA</t>
  </si>
  <si>
    <t xml:space="preserve">DG_Boost-pump_bar_NA</t>
  </si>
  <si>
    <t xml:space="preserve">DG_Digital_Integrated_Meter</t>
  </si>
  <si>
    <t xml:space="preserve">DG_Va-Ia-P-UH_V-A-P-Mwh_NA</t>
  </si>
  <si>
    <t xml:space="preserve">DG_Digital_Meter</t>
  </si>
  <si>
    <t xml:space="preserve">DG_VAP_Meter_NA</t>
  </si>
  <si>
    <t xml:space="preserve">DG_VA_NA_NA</t>
  </si>
  <si>
    <t xml:space="preserve">DG_Heater_Temp_NA</t>
  </si>
  <si>
    <t xml:space="preserve">DG_Gen-Status_Alt-Eng_NA</t>
  </si>
  <si>
    <t xml:space="preserve">DG_PB_max</t>
  </si>
  <si>
    <t xml:space="preserve">DG_PB-Demend_R_NA</t>
  </si>
  <si>
    <t xml:space="preserve">DG_Pump_ME_NA</t>
  </si>
  <si>
    <t xml:space="preserve">DG_Temp-Humi01_C-per_NA</t>
  </si>
  <si>
    <t xml:space="preserve">DG_Temp-Humi02_C-per_NA</t>
  </si>
  <si>
    <t xml:space="preserve">DG_TR_temp</t>
  </si>
  <si>
    <t xml:space="preserve">DG_Tr-Temp_C_NA</t>
  </si>
  <si>
    <t xml:space="preserve">DG_UPS_100KVA</t>
  </si>
  <si>
    <t xml:space="preserve">DG_RST-RST_VVV-VVV-AAA_NA</t>
  </si>
  <si>
    <t xml:space="preserve">DG_UPS_600KVA</t>
  </si>
  <si>
    <t xml:space="preserve">Etc_Fire-Extinguisher_NA_NA</t>
  </si>
  <si>
    <t xml:space="preserve">Etc_Fire-Hydrant-sign_NA_NA</t>
  </si>
  <si>
    <t xml:space="preserve">Etc_Outlet_No-plug_ok</t>
  </si>
  <si>
    <t xml:space="preserve">LED_DELD_run-on</t>
  </si>
  <si>
    <t xml:space="preserve">LED_Leakage_Green-on_ok</t>
  </si>
  <si>
    <t xml:space="preserve">LED_DELD_run-on_nok</t>
  </si>
  <si>
    <t xml:space="preserve">LED_DMFR_Run-on_ok</t>
  </si>
  <si>
    <t xml:space="preserve">LED_DMFR_run-on_nok</t>
  </si>
  <si>
    <t xml:space="preserve">LED_Green_off_nok</t>
  </si>
  <si>
    <t xml:space="preserve">LED_Green_off_ok</t>
  </si>
  <si>
    <t xml:space="preserve">LED_Green_on_nok</t>
  </si>
  <si>
    <t xml:space="preserve">LED_Green_on_ok</t>
  </si>
  <si>
    <t xml:space="preserve">LED_Green-dot_off_nok</t>
  </si>
  <si>
    <t xml:space="preserve">LED_Green-dot_off_ok</t>
  </si>
  <si>
    <t xml:space="preserve"> LED_Green-dot_on_nok</t>
  </si>
  <si>
    <t xml:space="preserve">LED_Green-dot_on_ok</t>
  </si>
  <si>
    <t xml:space="preserve">LED_Green-dot_on_nok</t>
  </si>
  <si>
    <t xml:space="preserve">LED_Panel_off_ok</t>
  </si>
  <si>
    <t xml:space="preserve">LED_Panel_off_nok</t>
  </si>
  <si>
    <t xml:space="preserve">LED_Panel_on_ok</t>
  </si>
  <si>
    <t xml:space="preserve">LED_Panel_on_nok</t>
  </si>
  <si>
    <t xml:space="preserve">LED_Panel-green-dot_on_ok</t>
  </si>
  <si>
    <t xml:space="preserve">LED_Panel-green-dot_on_nok</t>
  </si>
  <si>
    <t xml:space="preserve"> LED_Panel-green-dot_off_ok</t>
  </si>
  <si>
    <t xml:space="preserve">LED_Panel-green-dot_off_nok</t>
  </si>
  <si>
    <t xml:space="preserve">LED_Panel-green-dot_off_ok</t>
  </si>
  <si>
    <t xml:space="preserve">LED_Panel-red-dot_on_ok</t>
  </si>
  <si>
    <t xml:space="preserve">LED_Panel-red-dot_on_nok</t>
  </si>
  <si>
    <t xml:space="preserve">LED_Panel-red-dot_off_ok</t>
  </si>
  <si>
    <t xml:space="preserve">LED_Panel-red-dot_off_nok</t>
  </si>
  <si>
    <t xml:space="preserve">LED_pd</t>
  </si>
  <si>
    <t xml:space="preserve">LED_PD_on_ok</t>
  </si>
  <si>
    <t xml:space="preserve">LED_PD_on_nok</t>
  </si>
  <si>
    <t xml:space="preserve">LED_PD_off_ok</t>
  </si>
  <si>
    <t xml:space="preserve">LED_PD_off_nok</t>
  </si>
  <si>
    <t xml:space="preserve">LED_Red_off_nok</t>
  </si>
  <si>
    <t xml:space="preserve">LED_Red_off_ok</t>
  </si>
  <si>
    <t xml:space="preserve"> LED_Red_on_nok</t>
  </si>
  <si>
    <t xml:space="preserve">LED_Red_on_ok</t>
  </si>
  <si>
    <t xml:space="preserve">LED_Red_on_nok</t>
  </si>
  <si>
    <t xml:space="preserve">LED_Red-dot_off_nok</t>
  </si>
  <si>
    <t xml:space="preserve">LED_Red-dot_off_ok</t>
  </si>
  <si>
    <t xml:space="preserve"> LED_Red-dot_on_nok</t>
  </si>
  <si>
    <t xml:space="preserve">LED_Red-dot_on_ok</t>
  </si>
  <si>
    <t xml:space="preserve">LED_Red-dot_on_nok</t>
  </si>
  <si>
    <t xml:space="preserve">LED_Yellow_off_ok</t>
  </si>
  <si>
    <t xml:space="preserve">LED_Yellow_off_nok</t>
  </si>
  <si>
    <t xml:space="preserve">LED_Yellow_on_ok</t>
  </si>
  <si>
    <t xml:space="preserve">LED_Yellow_on_nok</t>
  </si>
  <si>
    <t xml:space="preserve">Sw_Nobe_Center_ok</t>
  </si>
  <si>
    <t xml:space="preserve">Sw_Nobe_Center_nok</t>
  </si>
  <si>
    <t xml:space="preserve">Sw_Nobe_Left_ok</t>
  </si>
  <si>
    <t xml:space="preserve">Sw_Nobe_Left_nok</t>
  </si>
  <si>
    <t xml:space="preserve">Sw_Nobe_Right_ok</t>
  </si>
  <si>
    <t xml:space="preserve">Sw_Nobe_Right_nok</t>
  </si>
  <si>
    <t xml:space="preserve">Sw_Nobe-dot_Center_ok</t>
  </si>
  <si>
    <t xml:space="preserve">Sw_Nobe-dot_Center_nok</t>
  </si>
  <si>
    <t xml:space="preserve">Sw_Nobe-dot_Left_ok</t>
  </si>
  <si>
    <t xml:space="preserve">Sw_Nobe-dot_Left_nok</t>
  </si>
  <si>
    <t xml:space="preserve">Sw_Nobe-dot_Right_ok</t>
  </si>
  <si>
    <t xml:space="preserve">Sw_Nobe-dot_Right_nok</t>
  </si>
  <si>
    <t xml:space="preserve">Sw_Pump_Center_ok</t>
  </si>
  <si>
    <t xml:space="preserve">Sw_Pump_Left_ok</t>
  </si>
  <si>
    <t xml:space="preserve">Sw_Pump_Right</t>
  </si>
  <si>
    <t xml:space="preserve">Sw_Pump_Right_ok</t>
  </si>
  <si>
    <t xml:space="preserve">Sw_Round_Center</t>
  </si>
  <si>
    <t xml:space="preserve">Sw_Round_Center_ok</t>
  </si>
  <si>
    <t xml:space="preserve">Sw_Round_Center_nok</t>
  </si>
  <si>
    <t xml:space="preserve">Sw_Round_Left</t>
  </si>
  <si>
    <t xml:space="preserve">Sw_Round_Left_ok</t>
  </si>
  <si>
    <t xml:space="preserve">Sw_Round_Left_nok</t>
  </si>
  <si>
    <t xml:space="preserve">Sw_Round_Right</t>
  </si>
  <si>
    <t xml:space="preserve">Sw_Round_Right_ok</t>
  </si>
  <si>
    <t xml:space="preserve">Sw_Round_Right_nok</t>
  </si>
  <si>
    <t xml:space="preserve">Sw_Round-dot_Center_ok</t>
  </si>
  <si>
    <t xml:space="preserve">Sw_Round-dot_Center_nok</t>
  </si>
  <si>
    <t xml:space="preserve">Sw_Round-dot_Left_ok</t>
  </si>
  <si>
    <t xml:space="preserve">Sw_Round-dot_Left_nok</t>
  </si>
  <si>
    <t xml:space="preserve">Sw_Round-dot_Right_ok</t>
  </si>
  <si>
    <t xml:space="preserve">Sw_Round-dot_Right_nok</t>
  </si>
  <si>
    <t xml:space="preserve">Valve_Valve_Closed_ok</t>
  </si>
  <si>
    <t xml:space="preserve">Valve_Valve_Opened_ok</t>
  </si>
  <si>
    <t xml:space="preserve">New Labels</t>
  </si>
  <si>
    <t xml:space="preserve">Old Labels</t>
  </si>
  <si>
    <t xml:space="preserve">Matching Table. </t>
  </si>
  <si>
    <t xml:space="preserve">AG_Pressure_Fire-extingusher_NA</t>
  </si>
  <si>
    <t xml:space="preserve">AG_Thermo-hygro_NA_ok</t>
  </si>
  <si>
    <t xml:space="preserve">AG_Pressure01_NA_P-0-1_ok</t>
  </si>
  <si>
    <t xml:space="preserve">AG_Pressure02_NA_P-0-1.5_ok</t>
  </si>
  <si>
    <t xml:space="preserve">AG_Pressure03_NA_P-0-1.5_ok</t>
  </si>
  <si>
    <t xml:space="preserve">AG_Pressure04_NA_P-0-1.5_ok</t>
  </si>
  <si>
    <t xml:space="preserve">AG_Pressure05_NA_P-0-16_ok</t>
  </si>
  <si>
    <t xml:space="preserve">AG_Pressure06_NA_P-0-1.5_ok</t>
  </si>
  <si>
    <t xml:space="preserve">AG_Pressure07_NA_P-0-2_ok</t>
  </si>
  <si>
    <t xml:space="preserve">AG_Temperature_NA_T-0-100_ok</t>
  </si>
  <si>
    <t xml:space="preserve">AG_Ammeter01_NA_A-0-300_ok</t>
  </si>
  <si>
    <t xml:space="preserve">AG_Ammeter02_NA_A-0-30_ok</t>
  </si>
  <si>
    <t xml:space="preserve">AG_Voltimeter_NA_V-0-30_ok</t>
  </si>
  <si>
    <t xml:space="preserve">AG_Ammeter03_NA_A-0-100_ok</t>
  </si>
  <si>
    <t xml:space="preserve">AG_Ammeter04_NA_A-0-100_ok</t>
  </si>
  <si>
    <t xml:space="preserve">DG_Digital Multi Function Relay</t>
  </si>
  <si>
    <t xml:space="preserve">DG_Digital Meter</t>
  </si>
  <si>
    <t xml:space="preserve">DG_Current_NA_NA</t>
  </si>
  <si>
    <t xml:space="preserve">DG_Electric Water Heater</t>
  </si>
  <si>
    <t xml:space="preserve">DG_Pump_bar_NA</t>
  </si>
  <si>
    <t xml:space="preserve">DG_REC-KY-1500</t>
  </si>
  <si>
    <t xml:space="preserve">DG_DC-Volt_V_NA</t>
  </si>
  <si>
    <t xml:space="preserve">DG_TR-Temp_C_NA</t>
  </si>
  <si>
    <t xml:space="preserve">DG_ACV-DCV-OCA_V-V-A_NA</t>
  </si>
  <si>
    <t xml:space="preserve">DG_Vab-bc-ca_kV_NA</t>
  </si>
  <si>
    <t xml:space="preserve">LED_DMFR_run-on_ok</t>
  </si>
  <si>
    <t xml:space="preserve">LED_DMFR_run-off_nok</t>
  </si>
  <si>
    <t xml:space="preserve">LED_PD-Detector_off_ok</t>
  </si>
  <si>
    <t xml:space="preserve">LED_DELD_PAB-on_ok</t>
  </si>
  <si>
    <t xml:space="preserve">LED_DELD_PAB-off_nok</t>
  </si>
  <si>
    <t xml:space="preserve">Sw_Valve_Closed_ok</t>
  </si>
  <si>
    <t xml:space="preserve">Sw_Valve_Opened_ok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</si>
</sst>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;[RED]\(0\)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맑은 고딕"/>
      <family val="2"/>
      <charset val="1"/>
    </font>
    <font>
      <sz val="10"/>
      <color rgb="FF000000"/>
      <name val="Noto Sans CJK SC"/>
      <family val="2"/>
      <charset val="1"/>
    </font>
    <font>
      <sz val="10"/>
      <color rgb="FF000000"/>
      <name val="맑은 고딕"/>
      <family val="3"/>
      <charset val="1"/>
    </font>
    <font>
      <sz val="10"/>
      <name val="Arial"/>
      <family val="2"/>
      <charset val="1"/>
    </font>
    <font>
      <sz val="10"/>
      <color rgb="FF000000"/>
      <name val="Arial"/>
      <family val="3"/>
      <charset val="1"/>
    </font>
    <font>
      <sz val="10"/>
      <color rgb="FF000000"/>
      <name val="Arial"/>
      <family val="1"/>
      <charset val="1"/>
    </font>
    <font>
      <sz val="11"/>
      <color rgb="FF000000"/>
      <name val="Malgun Gothic"/>
      <family val="3"/>
      <charset val="1"/>
    </font>
    <font>
      <sz val="10"/>
      <color rgb="FFC9211E"/>
      <name val="Arial"/>
      <family val="0"/>
      <charset val="1"/>
    </font>
    <font>
      <sz val="12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D9E7FD"/>
      </patternFill>
    </fill>
    <fill>
      <patternFill patternType="solid">
        <fgColor rgb="FFD9E7FD"/>
        <bgColor rgb="FFCFE2F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5" borderId="1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26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  <cellStyle name="표준 2" xfId="26"/>
  </cellStyles>
  <dxfs count="5">
    <dxf>
      <fill>
        <patternFill patternType="solid">
          <fgColor rgb="FFCFE2F3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9E7F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7FD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807" createdVersion="3">
  <cacheSource type="worksheet">
    <worksheetSource ref="A1:R808" sheet="inspection_point"/>
  </cacheSource>
  <cacheFields count="18">
    <cacheField name="site" numFmtId="0">
      <sharedItems count="1">
        <s v="datacenter_daejeon"/>
      </sharedItems>
    </cacheField>
    <cacheField name="mission_name" numFmtId="0">
      <sharedItems count="6">
        <s v="battery_room"/>
        <s v="electrical_room"/>
        <s v="electrical_room_section2"/>
        <s v="ESS_room"/>
        <s v="Generator_room_v2"/>
        <s v="machine_room_v4"/>
      </sharedItems>
    </cacheField>
    <cacheField name="inspection_name" numFmtId="0">
      <sharedItems count="64">
        <s v="Spot Cam - PTZ - 1 spot-cam-ptz.jpg"/>
        <s v="Spot Cam - PTZ - 10 spot-cam-ptz.jpg"/>
        <s v="Spot Cam - PTZ - 11 spot-cam-ptz.jpg"/>
        <s v="Spot Cam - PTZ - 12 spot-cam-ptz.jpg"/>
        <s v="Spot Cam - PTZ - 13 spot-cam-ptz.jpg"/>
        <s v="Spot Cam - PTZ - 14 spot-cam-ptz.jpg"/>
        <s v="Spot Cam - PTZ - 15 spot-cam-ptz.jpg"/>
        <s v="Spot Cam - PTZ - 16 spot-cam-ptz.jpg"/>
        <s v="Spot Cam - PTZ - 17 spot-cam-ptz.jpg"/>
        <s v="Spot Cam - PTZ - 18 spot-cam-ptz.jpg"/>
        <s v="Spot Cam - PTZ - 19 spot-cam-ptz.jpg"/>
        <s v="Spot Cam - PTZ - 2 spot-cam-ptz.jpg"/>
        <s v="Spot Cam - PTZ - 20 spot-cam-ptz.jpg"/>
        <s v="Spot Cam - PTZ - 21 spot-cam-ptz.jpg"/>
        <s v="Spot Cam - PTZ - 22 spot-cam-ptz.jpg"/>
        <s v="Spot Cam - PTZ - 23 spot-cam-ptz.jpg"/>
        <s v="Spot Cam - PTZ - 24 spot-cam-ptz.jpg"/>
        <s v="Spot Cam - PTZ - 25 spot-cam-ptz.jpg"/>
        <s v="Spot Cam - PTZ - 26 spot-cam-ptz.jpg"/>
        <s v="Spot Cam - PTZ - 27 spot-cam-ptz.jpg"/>
        <s v="Spot Cam - PTZ - 28 spot-cam-ptz.jpg"/>
        <s v="Spot Cam - PTZ - 29 spot-cam-ptz.jpg"/>
        <s v="Spot Cam - PTZ - 3 spot-cam-ptz.jpg"/>
        <s v="Spot Cam - PTZ - 30 spot-cam-ptz.jpg"/>
        <s v="Spot Cam - PTZ - 31 spot-cam-ptz.jpg"/>
        <s v="Spot Cam - PTZ - 32 spot-cam-ptz.jpg"/>
        <s v="Spot Cam - PTZ - 33 spot-cam-ptz.jpg"/>
        <s v="Spot Cam - PTZ - 34 spot-cam-ptz.jpg"/>
        <s v="Spot Cam - PTZ - 35 spot-cam-ptz.jpg"/>
        <s v="Spot Cam - PTZ - 36 spot-cam-ptz.jpg"/>
        <s v="Spot Cam - PTZ - 37 spot-cam-ptz.jpg"/>
        <s v="Spot Cam - PTZ - 38 spot-cam-ptz.jpg"/>
        <s v="Spot Cam - PTZ - 39 spot-cam-ptz.jpg"/>
        <s v="Spot Cam - PTZ - 4 spot-cam-ptz.jpg"/>
        <s v="Spot Cam - PTZ - 40 spot-cam-ptz.jpg"/>
        <s v="Spot Cam - PTZ - 41 spot-cam-ptz.jpg"/>
        <s v="Spot Cam - PTZ - 42 spot-cam-ptz.jpg"/>
        <s v="Spot Cam - PTZ - 43 spot-cam-ptz.jpg"/>
        <s v="Spot Cam - PTZ - 44 spot-cam-ptz.jpg"/>
        <s v="Spot Cam - PTZ - 45 spot-cam-ptz.jpg"/>
        <s v="Spot Cam - PTZ - 46 spot-cam-ptz.jpg"/>
        <s v="Spot Cam - PTZ - 47 spot-cam-ptz.jpg"/>
        <s v="Spot Cam - PTZ - 48 spot-cam-ptz.jpg"/>
        <s v="Spot Cam - PTZ - 49 spot-cam-ptz.jpg"/>
        <s v="Spot Cam - PTZ - 5 spot-cam-ptz.jpg"/>
        <s v="Spot Cam - PTZ - 50 spot-cam-ptz.jpg"/>
        <s v="Spot Cam - PTZ - 51 spot-cam-ptz.jpg"/>
        <s v="Spot Cam - PTZ - 52 spot-cam-ptz.jpg"/>
        <s v="Spot Cam - PTZ - 53 spot-cam-ptz.jpg"/>
        <s v="Spot Cam - PTZ - 54 spot-cam-ptz.jpg"/>
        <s v="Spot Cam - PTZ - 55 spot-cam-ptz.jpg"/>
        <s v="Spot Cam - PTZ - 56 spot-cam-ptz.jpg"/>
        <s v="Spot Cam - PTZ - 57 spot-cam-ptz.jpg"/>
        <s v="Spot Cam - PTZ - 58 spot-cam-ptz.jpg"/>
        <s v="Spot Cam - PTZ - 59 spot-cam-ptz.jpg"/>
        <s v="Spot Cam - PTZ - 6 spot-cam-ptz.jpg"/>
        <s v="Spot Cam - PTZ - 60 spot-cam-ptz.jpg"/>
        <s v="Spot Cam - PTZ - 61 spot-cam-ptz.jpg"/>
        <s v="Spot Cam - PTZ - 62 spot-cam-ptz.jpg"/>
        <s v="Spot Cam - PTZ - 63 spot-cam-ptz.jpg"/>
        <s v="Spot Cam - PTZ - 64 spot-cam-ptz.jpg"/>
        <s v="Spot Cam - PTZ - 7 spot-cam-ptz.jpg"/>
        <s v="Spot Cam - PTZ - 8 spot-cam-ptz.jpg"/>
        <s v="Spot Cam - PTZ - 9 spot-cam-ptz.jpg"/>
      </sharedItems>
    </cacheField>
    <cacheField name="facility_1" numFmtId="0">
      <sharedItems count="88">
        <s v="Battery_board"/>
        <s v="booster_pump"/>
        <s v="booster_pump(office-dong)"/>
        <s v="booster_pump(server-dong)"/>
        <s v="drain_pump"/>
        <s v="EHV-1"/>
        <s v="EHV-2"/>
        <s v="EHV-3"/>
        <s v="EHV-4"/>
        <s v="EHV-5"/>
        <s v="EHV-6"/>
        <s v="EHV-7 "/>
        <s v="EHV-8"/>
        <s v="EHV-S1"/>
        <s v="EHV-S2 "/>
        <s v="EHV-S3"/>
        <s v="EHV-S5"/>
        <s v="electric_water_heater"/>
        <s v="Feeder_panel"/>
        <s v="fire_extinguisher"/>
        <s v="fire_pump"/>
        <s v="Gen_control_panel"/>
        <s v="generator_01"/>
        <s v="generator_02"/>
        <s v="geothermal_circulation_pump"/>
        <s v="geothermal_heat_pump"/>
        <s v="geothermal_return_header"/>
        <s v="geothermal_supply_header"/>
        <s v="Heater_power_board"/>
        <s v="HV-1(CTTS1)"/>
        <s v="HV-1(CTTS2)"/>
        <s v="HV-1A"/>
        <s v="HV-1B"/>
        <s v="HV-2(CTTS1_3)"/>
        <s v="HV-2(CTTS2_4)"/>
        <s v="HV-3(CTTS3)"/>
        <s v="HV-3(CTTS4)"/>
        <s v="HV-3A"/>
        <s v="HV-3B "/>
        <s v="HV-4(CTTS1)"/>
        <s v="HV-4(CTTS2)"/>
        <s v="HV-5(CTTS3)"/>
        <s v="HV-5(CTTS4)"/>
        <s v="HV-5A"/>
        <s v="HV-5B"/>
        <s v="HV-CTTS1"/>
        <s v="HV-CTTS2"/>
        <s v="HV-CTTS3"/>
        <s v="HV-CTTS4"/>
        <s v="HVC-1"/>
        <s v="HVC-2 "/>
        <s v="HVC-3"/>
        <s v="LFB_2B(BCP)"/>
        <s v="LV-1A-1"/>
        <s v="LV-1B-1"/>
        <s v="LV-3A"/>
        <s v="LV-3B"/>
        <s v="LV-5A"/>
        <s v="LV-5A-1"/>
        <s v="LV-5A-2 "/>
        <s v="LV-5B"/>
        <s v="LV-5B-1"/>
        <s v="LV-5B-2"/>
        <s v="LV-R"/>
        <s v="Master Control panel"/>
        <s v="MCC_#E"/>
        <s v="MCC_#F"/>
        <s v="MCC_#G"/>
        <s v="MCCB panel(battery, heater_distribution_board)"/>
        <s v="MCP-GP-1"/>
        <s v="MCP-GP-2"/>
        <s v="MTR-1"/>
        <s v="MTR-2"/>
        <s v="MTR-3"/>
        <s v="NGR panel"/>
        <s v="NGR-1"/>
        <s v="NGR-2 "/>
        <s v="NGR-3 "/>
        <s v="outlet"/>
        <s v="PCS_main"/>
        <s v="Solar_power_panel_inverter"/>
        <s v="temperature_and_humidity_chamber"/>
        <s v="Thermo-hygro"/>
        <s v="Thrmo-hygro"/>
        <s v="TR-3A"/>
        <s v="TR-5A"/>
        <s v="UPS_100KVA"/>
        <s v="water_tank"/>
      </sharedItems>
    </cacheField>
    <cacheField name="facility_2" numFmtId="0">
      <sharedItems containsBlank="1" count="205">
        <s v="1F_heating_wire_contol_panel"/>
        <s v="32P_panel"/>
        <s v="51G_Alarm_panel"/>
        <s v="A_battery"/>
        <s v="A_heater"/>
        <s v="A_power"/>
        <s v="A1_Ammeter02"/>
        <s v="A2_Ammeter02"/>
        <s v="air-conditioner"/>
        <s v="alarm_LED"/>
        <s v="Ammeter01"/>
        <s v="Ammeter03"/>
        <s v="Ammeter04"/>
        <s v="analog_gauge_left"/>
        <s v="analog_gauge_right"/>
        <s v="auxiliary_pump"/>
        <s v="B_battery"/>
        <s v="B_heater"/>
        <s v="B_power"/>
        <s v="battery_room_drain_fan"/>
        <s v="battery_room_supply_fan"/>
        <s v="BMS"/>
        <s v="booster_pump_system"/>
        <s v="Clean_agent_room_drain_fan"/>
        <s v="Clean_agent_room_supply_fan"/>
        <s v="Close"/>
        <s v="CO2_fire_extinguisher_room_supply_drain_fan"/>
        <s v="condenser_1_manual-auto_switch"/>
        <s v="condenser_2_manual-auto_switch"/>
        <s v="condenser1_manual-auto_switch"/>
        <s v="condenser1_off"/>
        <s v="condenser1_on"/>
        <s v="condenser2_manual-auto_switch"/>
        <s v="condenser2_off"/>
        <s v="condenser2_on"/>
        <s v="control_panel"/>
        <s v="controller"/>
        <s v="DG_TR-temp"/>
        <s v="digital_meter"/>
        <s v="digital_meter_left"/>
        <s v="digital_meter_right"/>
        <s v="Digital_multi_function_relay(51G)"/>
        <s v="Digital_multi_function_relay(OCGR)"/>
        <s v="Digital_multi_function_relay(OCR/OCGR)"/>
        <s v="drain_pump"/>
        <s v="drain_pump_control_panel"/>
        <s v="ELD-1"/>
        <s v="ELD-2"/>
        <s v="electric_water_heater"/>
        <s v="electrical_room_DC_light_switch_manual-auto_switch"/>
        <s v="electrical_room_drain_fan"/>
        <s v="electrical_room_supply_fan"/>
        <s v="ESS(PCS)_panel"/>
        <s v="expansion_tank"/>
        <s v="expansion_tank_pressure"/>
        <s v="floor_condition"/>
        <s v="Fuel_battery_C/P_panel"/>
        <s v="fuel_tank_room_drain_fan"/>
        <s v="fuel_tank_room_inspection_cover_supply_drain_fan"/>
        <s v="fuel_tank_room_supply_fan"/>
        <s v="FUSE_panel"/>
        <s v="Gen_VCB_close"/>
        <s v="Gen_VCB_open"/>
        <s v="Gen01_NGR_Close"/>
        <s v="Gen01_NGR_Open"/>
        <s v="Gen02_NGR_Close"/>
        <s v="Gen02_NGR_Open"/>
        <s v="Gen03_NGR_Close"/>
        <s v="Gen03_NGR_Open"/>
        <s v="Gen04_NGR_Close"/>
        <s v="Gen04_NGR_Open"/>
        <s v="Gen05_NGR_Close"/>
        <s v="Gen05_NGR_Open"/>
        <s v="generator_auto_switch"/>
        <s v="Generator_MCCB_panel"/>
        <s v="generator_room_drain_fan"/>
        <s v="generator_room_supply_fan"/>
        <s v="Generator-MCCB_panel"/>
        <s v="genset_data"/>
        <s v="geothermal_heat_pump_control_panel_#1"/>
        <s v="geothermal_heat_pump_control_panel_#2"/>
        <s v="geothermal_heat_pump_control_panel_#3"/>
        <s v="geothermal_heat_pump_control_panel_#4"/>
        <s v="geothermal_heat_pump(air-conditioning)_#1"/>
        <s v="geothermal_heat_pump(air-conditioning)_#2"/>
        <s v="geothermal_heat_pump(air-conditioning)_#3"/>
        <s v="geothermal_heat_pump(air-conditioning)_#4"/>
        <s v="geothermal_heat_pump(air-conditioning)_#5"/>
        <s v="GIMAC"/>
        <s v="GiMAC-DC"/>
        <s v="Heating_wire_contol_panel"/>
        <s v="indoor_fire_hydrant_sprinkler_auxiliary_pump"/>
        <s v="indoor_fire_hydrant_sprinkler_main_pump"/>
        <s v="indoor_fire_hydrant_sprinkler_main_pump(spare)"/>
        <s v="KEPCO_VCB_close"/>
        <s v="KEPCO_VCB_open"/>
        <s v="L-1_panel"/>
        <s v="L-1A_panel"/>
        <s v="L-2_panel"/>
        <s v="L-2A_panel"/>
        <s v="L-3_panel"/>
        <s v="L-3A_panel"/>
        <s v="L-4_panel"/>
        <s v="L-4A_panel"/>
        <s v="L-B_panel"/>
        <s v="L-E_panel"/>
        <s v="left"/>
        <s v="level_gauge"/>
        <s v="Local-GIPAM_switch"/>
        <s v="Local-Remote_switch"/>
        <s v="LV/R_panel"/>
        <s v="machine_room_drain_fan"/>
        <s v="machine_room_drain_pump"/>
        <s v="machine_room_drain_pump(sequence)"/>
        <s v="machine_room_hot_water_circulation_pump"/>
        <s v="machine_room_hot_water_circulation_pump(spare)"/>
        <s v="machine_room_supply_fan"/>
        <s v="main_pump"/>
        <s v="Manual-Auto_switch"/>
        <s v="Manual-CTTS_switch"/>
        <s v="Manual-GIAPM_switch"/>
        <s v="MCC-E_panel"/>
        <s v="MCC-F_panel"/>
        <s v="MCC-G_panel"/>
        <s v="MCP-CT1-A_panel"/>
        <s v="MCP-CT1-B_panel"/>
        <s v="MCP-CT1-C_panel"/>
        <s v="MCP-CT1-D_panel"/>
        <s v="MCP-CT2-A_panel"/>
        <s v="MCP-GP-1_panel"/>
        <s v="MCP-GP-2_panel"/>
        <s v="MCP-N1-A_panel"/>
        <s v="MCP-N1-B_panel"/>
        <s v="MCT-CT1-B_panel"/>
        <s v="MCT-CT1-C_panel"/>
        <s v="MCT-CT1-D_panel"/>
        <s v="NVS_panel"/>
        <s v="OCGR_panel"/>
        <s v="OCR_panel"/>
        <s v="Off"/>
        <s v="Off-R-S-T_switch"/>
        <s v="OGCR_panel"/>
        <s v="On"/>
        <s v="Open"/>
        <s v="open_close_selector_switch"/>
        <s v="P-EHP-R1_panel"/>
        <s v="P-EHP-R2_panel"/>
        <s v="P-EHP-R3_panel"/>
        <s v="P-ELEV1_panel"/>
        <s v="P-ELEV2_panel"/>
        <s v="P-ELEV3_panel"/>
        <s v="PD"/>
        <s v="permanent_dewatering_pump"/>
        <s v="permanent_dewatering_pump(sequence)"/>
        <s v="pipe"/>
        <s v="pipe_#1"/>
        <s v="pipe_#1-2(rear)"/>
        <s v="pipe_#1(front)"/>
        <s v="pipe_#1(rear)"/>
        <s v="pipe_#1(upper)"/>
        <s v="pipe_#2"/>
        <s v="pipe_#2-1(rear)"/>
        <s v="pipe_#2(bottom)"/>
        <s v="pipe_#2(front)"/>
        <s v="pipe_#2(rear)"/>
        <s v="pipe_#3"/>
        <s v="pipe_#3-1(rear)"/>
        <s v="pipe_#3(front)"/>
        <s v="pipe_#3(rear)"/>
        <s v="pipe_#4"/>
        <s v="pipe_#4-1"/>
        <s v="pipe_#4-1(rear)"/>
        <s v="pipe_#4-2"/>
        <s v="pipe_#4-2(rear)"/>
        <s v="pipe_#4(front)"/>
        <s v="pipe_#4(rear)"/>
        <s v="pipe_#5"/>
        <s v="pipe_condition"/>
        <s v="pipe_valve"/>
        <s v="pressure_gauge"/>
        <s v="right"/>
        <s v="sign"/>
        <s v="Solar_power_panel"/>
        <s v="SPARE"/>
        <s v="Spare_panel"/>
        <s v="spare_pump"/>
        <s v="SPARE(geothermal_heat_panel)"/>
        <s v="Sum_PB_Max_Dmd"/>
        <s v="TIE_ACB_Close"/>
        <s v="TIE_ACB_Open"/>
        <s v="UPS_room_drain_fan"/>
        <s v="UPS_room_supply_fan"/>
        <s v="UPS#1_panel"/>
        <s v="UVR_panel"/>
        <s v="V1_voltimeter"/>
        <s v="V2_voltimeter"/>
        <s v="VCB_630A(F1)/CTTS-1"/>
        <s v="VCB_630A(F2)/CTTS-2"/>
        <s v="VCB_630A(F3)/CTTS-3"/>
        <s v="VCB_630A(F4)/CTTS-4"/>
        <s v="VCB_630A(M1)/Gen1"/>
        <s v="VCB_630A(M2)/Gen2"/>
        <s v="water_leak"/>
        <s v="wire"/>
        <m/>
      </sharedItems>
    </cacheField>
    <cacheField name="inspection_point_type" numFmtId="0">
      <sharedItems count="61">
        <s v="AG_Ammeter01_A-0-300"/>
        <s v="AG_Ammeter02_A-0-30"/>
        <s v="AG_Ammeter03_A-0-100"/>
        <s v="AG_Ammeter04_A-0-100"/>
        <s v="AG_Pressure_Fire-extinguisher"/>
        <s v="AG_Pressure01_P-0-1"/>
        <s v="AG_Pressure02_P-0-1.5"/>
        <s v="AG_Pressure03_P-0-1.5"/>
        <s v="AG_Pressure04_P-0-1.5"/>
        <s v="AG_Pressure05_P-0-16"/>
        <s v="AG_Pressure06_P-0-1.5"/>
        <s v="AG_Pressure07_P-0-2"/>
        <s v="AG_Temperature_T-0-100"/>
        <s v="AG_Thermo-hygro"/>
        <s v="AG_Voltimeter_V-0-30"/>
        <s v="Class_C-Duct_Clean"/>
        <s v="Class_Clean"/>
        <s v="Class_Outlet"/>
        <s v="Class_Plumb_Clean"/>
        <s v="Class_W-Tank_Gauge"/>
        <s v="Class_Water_Clean"/>
        <s v="DG_Air-Conditioner"/>
        <s v="DG_BMS"/>
        <s v="DG_Boost-pump"/>
        <s v="DG_Digital-Integrated-Meter"/>
        <s v="DG_Digital-Meter"/>
        <s v="DG_Electric-Water-Heater"/>
        <s v="DG_Gen-Status"/>
        <s v="DG_GIMAC-DC"/>
        <s v="DG_PB-max"/>
        <s v="DG_Pump"/>
        <s v="DG_Thermo-hygro"/>
        <s v="DG_TR-temp"/>
        <s v="DG_UPS-100KVA"/>
        <s v="ETC_Fire_Extinguisher"/>
        <s v="ETC_Fire_Hydrant-sign"/>
        <s v="LED_Controller_ok"/>
        <s v="LED_DELD_PAB-on"/>
        <s v="LED_DMFR_run-on"/>
        <s v="LED_Green"/>
        <s v="LED_Green_off"/>
        <s v="LED_Green-dot_on"/>
        <s v="LED_Panel_off"/>
        <s v="LED_Panel-green-dot_off"/>
        <s v="LED_Panel-red-dot_on"/>
        <s v="LED_PD_on"/>
        <s v="LED_Red"/>
        <s v="LED_Red_off"/>
        <s v="LED_Red-dot_off"/>
        <s v="LED_Red-dot_on"/>
        <s v="LED_Yellow_off"/>
        <s v="Sw_Nobe_Center"/>
        <s v="Sw_Nobe_Left"/>
        <s v="Sw_Nobe_Right"/>
        <s v="Sw_Nobe-dot_Center"/>
        <s v="Sw_Nobe-dot_Left"/>
        <s v="Sw_Nobe-dot_Right"/>
        <s v="Sw_Pump_Center"/>
        <s v="Sw_Pump_Left"/>
        <s v="Sw_Round-dot_Left"/>
        <s v="Sw_Valve"/>
      </sharedItems>
    </cacheField>
    <cacheField name="model_type" numFmtId="0">
      <sharedItems containsBlank="1" count="13">
        <s v="analog_gauge"/>
        <s v="digital_gauge"/>
        <s v="ETC"/>
        <s v="fire_extinguisher_location"/>
        <s v="LED"/>
        <s v="outlet_condtion"/>
        <s v="overflow, cleaning_condition"/>
        <s v="piping_condition"/>
        <s v="switch"/>
        <s v="water_leak"/>
        <s v="water_level_gauge"/>
        <s v="wire_condition"/>
        <m/>
      </sharedItems>
    </cacheField>
    <cacheField name="model_ver" numFmtId="0">
      <sharedItems containsString="0" containsBlank="1" count="1">
        <m/>
      </sharedItems>
    </cacheField>
    <cacheField name="hyperparameter" numFmtId="0">
      <sharedItems containsBlank="1" count="4">
        <s v="소화기 점검일지"/>
        <s v="수변전설비 점검일지"/>
        <s v="저압 전기설비 점검기록표(분기, 반기, 연차)"/>
        <m/>
      </sharedItems>
    </cacheField>
    <cacheField name="min_value" numFmtId="0">
      <sharedItems containsBlank="1" containsMixedTypes="1" containsNumber="1" containsInteger="1" minValue="-30" maxValue="20" count="9">
        <n v="-30"/>
        <n v="0"/>
        <n v="20"/>
        <s v="-"/>
        <s v="계기(지팜, ELD등) 및 램프는 정상인가?"/>
        <s v="소화기별 적정거리 위치 여부, 적정 위치 배치 여부"/>
        <s v="정상적인 점등 여부 확인"/>
        <s v="지시압력계(압력상태) 확인"/>
        <m/>
      </sharedItems>
    </cacheField>
    <cacheField name="max_value" numFmtId="0">
      <sharedItems containsBlank="1" containsMixedTypes="1" containsNumber="1" minValue="0" maxValue="300" count="14">
        <n v="0"/>
        <n v="1"/>
        <n v="1.5"/>
        <n v="2"/>
        <n v="10"/>
        <n v="16"/>
        <n v="30"/>
        <n v="50"/>
        <n v="100"/>
        <n v="300"/>
        <s v="-"/>
        <s v="분기별 1회"/>
        <s v="일 5회"/>
        <m/>
      </sharedItems>
    </cacheField>
    <cacheField name="normal_min_value" numFmtId="0">
      <sharedItems containsBlank="1" containsMixedTypes="1" containsNumber="1" minValue="0" maxValue="40" count="16">
        <n v="0"/>
        <n v="0.12"/>
        <n v="0.45"/>
        <n v="0.55"/>
        <n v="0.6"/>
        <n v="0.65"/>
        <n v="4"/>
        <n v="5.1"/>
        <n v="5.5"/>
        <n v="5.7"/>
        <n v="5.8"/>
        <n v="15"/>
        <n v="40"/>
        <s v="-"/>
        <s v="AB50"/>
        <m/>
      </sharedItems>
    </cacheField>
    <cacheField name="normal_max_value" numFmtId="0">
      <sharedItems containsBlank="1" containsMixedTypes="1" containsNumber="1" minValue="0" maxValue="70" count="16">
        <n v="0"/>
        <n v="0.16"/>
        <n v="0.55"/>
        <n v="0.6"/>
        <n v="0.7"/>
        <n v="1.5"/>
        <n v="6.2"/>
        <n v="6.3"/>
        <n v="6.4"/>
        <n v="6.5"/>
        <n v="9"/>
        <n v="25"/>
        <n v="30"/>
        <n v="70"/>
        <s v="-"/>
        <m/>
      </sharedItems>
    </cacheField>
    <cacheField name="comment" numFmtId="0">
      <sharedItems containsBlank="1" count="23">
        <s v="-"/>
        <s v="10^-1 Mpa, normal range is not accurate"/>
        <s v="Check the Coolant Temp"/>
        <s v="Check the gauge when the facility is operating"/>
        <s v="humidity"/>
        <s v="no operation"/>
        <s v="normal = 0 A (R,S,T)"/>
        <s v="normal = 0 A (R)"/>
        <s v="normal = 0 A (S)"/>
        <s v="normal = 0 A (T)"/>
        <s v="normal = 0.14 Mpa"/>
        <s v="normal = 0.5 Mpa"/>
        <s v="normal = 0.65 Mpa"/>
        <s v="normal = 1 A (R), 0 A (T)"/>
        <s v="normal = 20℃"/>
        <s v="normal = 5.1 A(R), 6.1 A(S), 6.2 A(T)"/>
        <s v="normal = 5.7 A(R), 6.3 A(S), 6.2 A(T)"/>
        <s v="normal = 5.8 A(R), 6.1 A(S), 6.4 A(T)"/>
        <s v="normal = 6 bar"/>
        <s v="temperature"/>
        <s v="temperature, humidity"/>
        <s v="The standard pressure is 0.7 Mpa, but higher is also acceptable"/>
        <m/>
      </sharedItems>
    </cacheField>
    <cacheField name="  " numFmtId="0">
      <sharedItems containsBlank="1" count="24">
        <s v=" 무정전전원장치 점검기록표 "/>
        <s v="ICT센터 전기설비 점검표"/>
        <s v="MCC_#E 점검표"/>
        <s v="MCC_#F 점검표"/>
        <s v="MCC_#G 점검표"/>
        <s v="MCP-GP-1,2 점검표"/>
        <s v="무정전전원장치 점검기록표 ICT센터 전기설비 점검표"/>
        <s v="발전설비 점검기록표, 수변전 점검기록표"/>
        <s v="변압기 점검기록표"/>
        <s v="소방시설와관점검표, 수변전설비 점검일지"/>
        <s v="소화기 점검일지"/>
        <s v="수변전설비 점검일지"/>
        <s v="일일설비 순회점검 일지 (야간)"/>
        <s v="일일설비 순회점검 일지 (주/야간)"/>
        <s v="일일설비 순회점검 일지 (주야간)"/>
        <s v="저수조 위생점검기준"/>
        <s v="저압 전기설비 점검기록표(분기, 반기, 연차)"/>
        <s v="지열 설비 점검표"/>
        <s v="지열설비 점검표"/>
        <s v="충전기 본체 점검"/>
        <s v="펌프 배관 설비 점검표"/>
        <s v="펌프 배관 설비 점검표, 일일설비 순회점검 일지"/>
        <s v="펌프배관설비점검표"/>
        <m/>
      </sharedItems>
    </cacheField>
    <cacheField name="inspection_details" numFmtId="0">
      <sharedItems containsBlank="1" count="48">
        <s v=" 배ㆍ분전반 및 보호시설의 적정 여부"/>
        <s v="GIMAC-1000 정상계측값인지?"/>
        <s v="V1-METER / V2-METER"/>
        <s v="각종 표시용LAMP동작상태"/>
        <s v="계기(지팜, ELD등) 및 램프는 정상인가?"/>
        <s v="고수위 등 각종 경보 동작상채"/>
        <s v="냉·온수 공급 압력(MPa)"/>
        <s v="냉·온수 공급 온도(℃)"/>
        <s v="냉·온수 공급/환수 압력(MPa)"/>
        <s v="냉·온수 공급/환수 온도(℃)"/>
        <s v="냉·온수 환수 압력(MPa)"/>
        <s v="냉·온수 환수 온도(℃)"/>
        <s v="냉온수 공급 온도"/>
        <s v="디지털 모터보호제어장치(IMCIMP-C) 정상작동"/>
        <s v="발전기 히팅코일은 이상없는가?"/>
        <s v="배관의 누수,부식"/>
        <s v="배관의 누수,부식 및 각종 밸브 동작여부"/>
        <s v="배관의 누수,부식 및 각종 밸브 동작여부, 압력탱크 누수"/>
        <s v="부분방전"/>
        <s v="부분방전감지기(G2PD-100) 정상 계측값"/>
        <s v="소음, 진동, 누수, 보온재 상태"/>
        <s v="소화기별 적정거리 위치 여부, "/>
        <s v="소화기별 적정거리 위치 여부, 적정 위치 배치 여부"/>
        <s v="압력게이지 등 정상 동작상태"/>
        <s v="온도 측정"/>
        <s v="온도, 습도"/>
        <s v="유출관･배수관 등의 접합부분은 고정되고 방수･밀폐되어 있을 것"/>
        <s v="유효 전력량, 무효 전력량, 당월 최대전력"/>
        <s v="입․출력 전압 및 전류 측정 점검, 전압,전류계등 계기류 동작상태"/>
        <s v="입력출력 전압 전류 부하량 축전지, UPS계측값은 정상이며 알림발생유무?"/>
        <s v="저수량1 / 저수량2"/>
        <s v="적정 위치 배치 여부"/>
        <s v="전기온수기 온도 계측 및 정상상태"/>
        <s v="전선 및 전선관,접속단자 등 상태(손상,열화,변색 등) - 함 외부"/>
        <s v="전압, 전류, 전력, 전력량, 역률 등 측정"/>
        <s v="정상적인 점등 여부 확인"/>
        <s v="정상적인 점등 여부 확인, 계기(지팜, ELD등) 및 램프는 정상인가?"/>
        <s v="지시압력계(압력상태) 확인"/>
        <s v="지열공급헤더-냉온수 공급 압력(Mpa)"/>
        <s v="지열팽창탱크 누수 및 이상여부"/>
        <s v="지열팽창탱크 압력(MPa)"/>
        <s v="차단기 상태 및 이상유무"/>
        <s v="청결하며 쓰레기･오물 등이 놓여 있지 아니할 것, 저수조 주위에 고인 물,용수 등이 없을 것, 저수조 주위에 고인 물,용수 등이 없을 것"/>
        <s v="청소상태, 배수상태"/>
        <s v="콘센트 전원 이상 및 파손부위는 없는가?"/>
        <s v="현재 압력 및 이상유무, 펌프의 가동상태 및 소음ㆍ진동여부"/>
        <s v="현재압력 (bar), 압력게이지 등 정상 동작상태"/>
        <m/>
      </sharedItems>
    </cacheField>
    <cacheField name="inspection_period" numFmtId="0">
      <sharedItems containsBlank="1" count="12">
        <s v=", 일 5회"/>
        <s v="?, 월 1회"/>
        <s v="분기"/>
        <s v="분기, 일 2회"/>
        <s v="분기별 1회"/>
        <s v="월 1회"/>
        <s v="일 2, 3회"/>
        <s v="일 2회"/>
        <s v="일 5회"/>
        <s v="일2회"/>
        <s v="일일"/>
        <m/>
      </sharedItems>
    </cacheField>
    <cacheField name="insepction_cell_number" numFmtId="0">
      <sharedItems containsBlank="1" count="7">
        <s v="['B15','C15','D15','E15','F15','G15','I15','J5']"/>
        <s v="['E15','E16'}"/>
        <s v="{'E15','E16'}"/>
        <s v="{'소화기 점검일지':'E15','소화기 점검일지''E16'}"/>
        <s v="AB50"/>
        <s v="E13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7">
  <r>
    <x v="0"/>
    <x v="0"/>
    <x v="0"/>
    <x v="19"/>
    <x v="204"/>
    <x v="34"/>
    <x v="3"/>
    <x v="0"/>
    <x v="3"/>
    <x v="8"/>
    <x v="13"/>
    <x v="15"/>
    <x v="15"/>
    <x v="22"/>
    <x v="10"/>
    <x v="21"/>
    <x v="11"/>
    <x v="3"/>
  </r>
  <r>
    <x v="0"/>
    <x v="0"/>
    <x v="0"/>
    <x v="19"/>
    <x v="204"/>
    <x v="34"/>
    <x v="3"/>
    <x v="0"/>
    <x v="3"/>
    <x v="8"/>
    <x v="13"/>
    <x v="15"/>
    <x v="15"/>
    <x v="22"/>
    <x v="10"/>
    <x v="31"/>
    <x v="11"/>
    <x v="6"/>
  </r>
  <r>
    <x v="0"/>
    <x v="0"/>
    <x v="0"/>
    <x v="19"/>
    <x v="181"/>
    <x v="35"/>
    <x v="3"/>
    <x v="0"/>
    <x v="3"/>
    <x v="8"/>
    <x v="13"/>
    <x v="15"/>
    <x v="15"/>
    <x v="22"/>
    <x v="10"/>
    <x v="37"/>
    <x v="11"/>
    <x v="6"/>
  </r>
  <r>
    <x v="0"/>
    <x v="0"/>
    <x v="1"/>
    <x v="19"/>
    <x v="106"/>
    <x v="4"/>
    <x v="0"/>
    <x v="0"/>
    <x v="3"/>
    <x v="1"/>
    <x v="4"/>
    <x v="6"/>
    <x v="10"/>
    <x v="1"/>
    <x v="10"/>
    <x v="37"/>
    <x v="11"/>
    <x v="5"/>
  </r>
  <r>
    <x v="0"/>
    <x v="0"/>
    <x v="1"/>
    <x v="19"/>
    <x v="180"/>
    <x v="4"/>
    <x v="0"/>
    <x v="0"/>
    <x v="3"/>
    <x v="1"/>
    <x v="4"/>
    <x v="6"/>
    <x v="10"/>
    <x v="1"/>
    <x v="10"/>
    <x v="37"/>
    <x v="11"/>
    <x v="5"/>
  </r>
  <r>
    <x v="0"/>
    <x v="0"/>
    <x v="2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3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4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5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6"/>
    <x v="19"/>
    <x v="204"/>
    <x v="34"/>
    <x v="3"/>
    <x v="0"/>
    <x v="3"/>
    <x v="8"/>
    <x v="13"/>
    <x v="15"/>
    <x v="15"/>
    <x v="22"/>
    <x v="10"/>
    <x v="22"/>
    <x v="11"/>
    <x v="6"/>
  </r>
  <r>
    <x v="0"/>
    <x v="0"/>
    <x v="6"/>
    <x v="19"/>
    <x v="204"/>
    <x v="34"/>
    <x v="3"/>
    <x v="0"/>
    <x v="3"/>
    <x v="8"/>
    <x v="13"/>
    <x v="15"/>
    <x v="15"/>
    <x v="22"/>
    <x v="10"/>
    <x v="22"/>
    <x v="11"/>
    <x v="1"/>
  </r>
  <r>
    <x v="0"/>
    <x v="0"/>
    <x v="6"/>
    <x v="19"/>
    <x v="181"/>
    <x v="35"/>
    <x v="3"/>
    <x v="0"/>
    <x v="3"/>
    <x v="8"/>
    <x v="13"/>
    <x v="15"/>
    <x v="15"/>
    <x v="22"/>
    <x v="10"/>
    <x v="22"/>
    <x v="11"/>
    <x v="1"/>
  </r>
  <r>
    <x v="0"/>
    <x v="0"/>
    <x v="7"/>
    <x v="19"/>
    <x v="106"/>
    <x v="4"/>
    <x v="0"/>
    <x v="0"/>
    <x v="3"/>
    <x v="1"/>
    <x v="4"/>
    <x v="6"/>
    <x v="10"/>
    <x v="1"/>
    <x v="10"/>
    <x v="37"/>
    <x v="11"/>
    <x v="5"/>
  </r>
  <r>
    <x v="0"/>
    <x v="0"/>
    <x v="7"/>
    <x v="19"/>
    <x v="180"/>
    <x v="4"/>
    <x v="0"/>
    <x v="0"/>
    <x v="3"/>
    <x v="1"/>
    <x v="4"/>
    <x v="6"/>
    <x v="10"/>
    <x v="1"/>
    <x v="10"/>
    <x v="37"/>
    <x v="11"/>
    <x v="5"/>
  </r>
  <r>
    <x v="0"/>
    <x v="0"/>
    <x v="8"/>
    <x v="52"/>
    <x v="21"/>
    <x v="22"/>
    <x v="1"/>
    <x v="0"/>
    <x v="3"/>
    <x v="8"/>
    <x v="13"/>
    <x v="15"/>
    <x v="15"/>
    <x v="22"/>
    <x v="23"/>
    <x v="47"/>
    <x v="11"/>
    <x v="6"/>
  </r>
  <r>
    <x v="0"/>
    <x v="0"/>
    <x v="11"/>
    <x v="19"/>
    <x v="106"/>
    <x v="4"/>
    <x v="0"/>
    <x v="0"/>
    <x v="3"/>
    <x v="1"/>
    <x v="4"/>
    <x v="6"/>
    <x v="10"/>
    <x v="1"/>
    <x v="10"/>
    <x v="37"/>
    <x v="11"/>
    <x v="5"/>
  </r>
  <r>
    <x v="0"/>
    <x v="0"/>
    <x v="11"/>
    <x v="19"/>
    <x v="180"/>
    <x v="4"/>
    <x v="0"/>
    <x v="0"/>
    <x v="3"/>
    <x v="1"/>
    <x v="4"/>
    <x v="6"/>
    <x v="10"/>
    <x v="1"/>
    <x v="10"/>
    <x v="37"/>
    <x v="11"/>
    <x v="5"/>
  </r>
  <r>
    <x v="0"/>
    <x v="0"/>
    <x v="22"/>
    <x v="82"/>
    <x v="204"/>
    <x v="13"/>
    <x v="0"/>
    <x v="0"/>
    <x v="3"/>
    <x v="0"/>
    <x v="7"/>
    <x v="11"/>
    <x v="11"/>
    <x v="19"/>
    <x v="13"/>
    <x v="25"/>
    <x v="7"/>
    <x v="6"/>
  </r>
  <r>
    <x v="0"/>
    <x v="0"/>
    <x v="22"/>
    <x v="82"/>
    <x v="204"/>
    <x v="13"/>
    <x v="0"/>
    <x v="0"/>
    <x v="3"/>
    <x v="2"/>
    <x v="8"/>
    <x v="12"/>
    <x v="13"/>
    <x v="4"/>
    <x v="13"/>
    <x v="25"/>
    <x v="7"/>
    <x v="6"/>
  </r>
  <r>
    <x v="0"/>
    <x v="0"/>
    <x v="33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44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55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61"/>
    <x v="81"/>
    <x v="8"/>
    <x v="21"/>
    <x v="1"/>
    <x v="0"/>
    <x v="3"/>
    <x v="8"/>
    <x v="13"/>
    <x v="15"/>
    <x v="15"/>
    <x v="22"/>
    <x v="13"/>
    <x v="25"/>
    <x v="7"/>
    <x v="6"/>
  </r>
  <r>
    <x v="0"/>
    <x v="0"/>
    <x v="62"/>
    <x v="19"/>
    <x v="204"/>
    <x v="34"/>
    <x v="3"/>
    <x v="0"/>
    <x v="3"/>
    <x v="8"/>
    <x v="13"/>
    <x v="15"/>
    <x v="15"/>
    <x v="22"/>
    <x v="23"/>
    <x v="47"/>
    <x v="11"/>
    <x v="6"/>
  </r>
  <r>
    <x v="0"/>
    <x v="0"/>
    <x v="62"/>
    <x v="19"/>
    <x v="204"/>
    <x v="34"/>
    <x v="3"/>
    <x v="0"/>
    <x v="3"/>
    <x v="8"/>
    <x v="13"/>
    <x v="15"/>
    <x v="15"/>
    <x v="22"/>
    <x v="10"/>
    <x v="22"/>
    <x v="11"/>
    <x v="1"/>
  </r>
  <r>
    <x v="0"/>
    <x v="0"/>
    <x v="62"/>
    <x v="19"/>
    <x v="181"/>
    <x v="35"/>
    <x v="3"/>
    <x v="0"/>
    <x v="3"/>
    <x v="8"/>
    <x v="13"/>
    <x v="15"/>
    <x v="15"/>
    <x v="22"/>
    <x v="10"/>
    <x v="22"/>
    <x v="11"/>
    <x v="2"/>
  </r>
  <r>
    <x v="0"/>
    <x v="0"/>
    <x v="63"/>
    <x v="19"/>
    <x v="204"/>
    <x v="34"/>
    <x v="3"/>
    <x v="0"/>
    <x v="3"/>
    <x v="8"/>
    <x v="13"/>
    <x v="15"/>
    <x v="15"/>
    <x v="22"/>
    <x v="23"/>
    <x v="47"/>
    <x v="11"/>
    <x v="6"/>
  </r>
  <r>
    <x v="0"/>
    <x v="0"/>
    <x v="63"/>
    <x v="19"/>
    <x v="204"/>
    <x v="34"/>
    <x v="3"/>
    <x v="0"/>
    <x v="3"/>
    <x v="8"/>
    <x v="13"/>
    <x v="15"/>
    <x v="15"/>
    <x v="22"/>
    <x v="10"/>
    <x v="22"/>
    <x v="11"/>
    <x v="1"/>
  </r>
  <r>
    <x v="0"/>
    <x v="0"/>
    <x v="63"/>
    <x v="19"/>
    <x v="181"/>
    <x v="35"/>
    <x v="3"/>
    <x v="0"/>
    <x v="3"/>
    <x v="8"/>
    <x v="13"/>
    <x v="15"/>
    <x v="15"/>
    <x v="22"/>
    <x v="10"/>
    <x v="22"/>
    <x v="11"/>
    <x v="1"/>
  </r>
  <r>
    <x v="0"/>
    <x v="2"/>
    <x v="0"/>
    <x v="19"/>
    <x v="204"/>
    <x v="34"/>
    <x v="3"/>
    <x v="0"/>
    <x v="0"/>
    <x v="5"/>
    <x v="13"/>
    <x v="15"/>
    <x v="15"/>
    <x v="22"/>
    <x v="23"/>
    <x v="47"/>
    <x v="11"/>
    <x v="6"/>
  </r>
  <r>
    <x v="0"/>
    <x v="2"/>
    <x v="0"/>
    <x v="19"/>
    <x v="204"/>
    <x v="34"/>
    <x v="3"/>
    <x v="0"/>
    <x v="3"/>
    <x v="8"/>
    <x v="13"/>
    <x v="15"/>
    <x v="15"/>
    <x v="22"/>
    <x v="10"/>
    <x v="22"/>
    <x v="11"/>
    <x v="6"/>
  </r>
  <r>
    <x v="0"/>
    <x v="2"/>
    <x v="0"/>
    <x v="19"/>
    <x v="181"/>
    <x v="35"/>
    <x v="3"/>
    <x v="0"/>
    <x v="3"/>
    <x v="8"/>
    <x v="13"/>
    <x v="15"/>
    <x v="15"/>
    <x v="22"/>
    <x v="10"/>
    <x v="22"/>
    <x v="11"/>
    <x v="6"/>
  </r>
  <r>
    <x v="0"/>
    <x v="2"/>
    <x v="1"/>
    <x v="36"/>
    <x v="143"/>
    <x v="40"/>
    <x v="4"/>
    <x v="0"/>
    <x v="3"/>
    <x v="8"/>
    <x v="13"/>
    <x v="15"/>
    <x v="15"/>
    <x v="22"/>
    <x v="11"/>
    <x v="4"/>
    <x v="8"/>
    <x v="4"/>
  </r>
  <r>
    <x v="0"/>
    <x v="2"/>
    <x v="1"/>
    <x v="36"/>
    <x v="138"/>
    <x v="42"/>
    <x v="4"/>
    <x v="0"/>
    <x v="3"/>
    <x v="8"/>
    <x v="13"/>
    <x v="15"/>
    <x v="15"/>
    <x v="22"/>
    <x v="11"/>
    <x v="4"/>
    <x v="8"/>
    <x v="4"/>
  </r>
  <r>
    <x v="0"/>
    <x v="2"/>
    <x v="1"/>
    <x v="36"/>
    <x v="137"/>
    <x v="42"/>
    <x v="4"/>
    <x v="0"/>
    <x v="3"/>
    <x v="8"/>
    <x v="13"/>
    <x v="15"/>
    <x v="15"/>
    <x v="22"/>
    <x v="11"/>
    <x v="4"/>
    <x v="8"/>
    <x v="4"/>
  </r>
  <r>
    <x v="0"/>
    <x v="2"/>
    <x v="1"/>
    <x v="36"/>
    <x v="184"/>
    <x v="42"/>
    <x v="4"/>
    <x v="0"/>
    <x v="3"/>
    <x v="8"/>
    <x v="13"/>
    <x v="15"/>
    <x v="15"/>
    <x v="22"/>
    <x v="11"/>
    <x v="4"/>
    <x v="8"/>
    <x v="4"/>
  </r>
  <r>
    <x v="0"/>
    <x v="2"/>
    <x v="1"/>
    <x v="36"/>
    <x v="25"/>
    <x v="49"/>
    <x v="4"/>
    <x v="0"/>
    <x v="3"/>
    <x v="8"/>
    <x v="13"/>
    <x v="15"/>
    <x v="15"/>
    <x v="22"/>
    <x v="11"/>
    <x v="4"/>
    <x v="8"/>
    <x v="4"/>
  </r>
  <r>
    <x v="0"/>
    <x v="2"/>
    <x v="1"/>
    <x v="36"/>
    <x v="108"/>
    <x v="55"/>
    <x v="4"/>
    <x v="0"/>
    <x v="3"/>
    <x v="8"/>
    <x v="13"/>
    <x v="15"/>
    <x v="15"/>
    <x v="22"/>
    <x v="11"/>
    <x v="4"/>
    <x v="8"/>
    <x v="4"/>
  </r>
  <r>
    <x v="0"/>
    <x v="2"/>
    <x v="2"/>
    <x v="41"/>
    <x v="151"/>
    <x v="45"/>
    <x v="4"/>
    <x v="0"/>
    <x v="3"/>
    <x v="8"/>
    <x v="13"/>
    <x v="15"/>
    <x v="15"/>
    <x v="22"/>
    <x v="11"/>
    <x v="4"/>
    <x v="8"/>
    <x v="4"/>
  </r>
  <r>
    <x v="0"/>
    <x v="2"/>
    <x v="3"/>
    <x v="41"/>
    <x v="143"/>
    <x v="41"/>
    <x v="4"/>
    <x v="0"/>
    <x v="3"/>
    <x v="8"/>
    <x v="13"/>
    <x v="15"/>
    <x v="15"/>
    <x v="22"/>
    <x v="11"/>
    <x v="4"/>
    <x v="8"/>
    <x v="4"/>
  </r>
  <r>
    <x v="0"/>
    <x v="2"/>
    <x v="3"/>
    <x v="41"/>
    <x v="25"/>
    <x v="47"/>
    <x v="4"/>
    <x v="0"/>
    <x v="3"/>
    <x v="8"/>
    <x v="13"/>
    <x v="15"/>
    <x v="15"/>
    <x v="22"/>
    <x v="11"/>
    <x v="4"/>
    <x v="8"/>
    <x v="4"/>
  </r>
  <r>
    <x v="0"/>
    <x v="2"/>
    <x v="3"/>
    <x v="41"/>
    <x v="109"/>
    <x v="55"/>
    <x v="4"/>
    <x v="0"/>
    <x v="3"/>
    <x v="8"/>
    <x v="13"/>
    <x v="15"/>
    <x v="15"/>
    <x v="22"/>
    <x v="11"/>
    <x v="4"/>
    <x v="8"/>
    <x v="4"/>
  </r>
  <r>
    <x v="0"/>
    <x v="2"/>
    <x v="4"/>
    <x v="42"/>
    <x v="143"/>
    <x v="41"/>
    <x v="4"/>
    <x v="0"/>
    <x v="3"/>
    <x v="8"/>
    <x v="13"/>
    <x v="15"/>
    <x v="15"/>
    <x v="22"/>
    <x v="11"/>
    <x v="4"/>
    <x v="8"/>
    <x v="4"/>
  </r>
  <r>
    <x v="0"/>
    <x v="2"/>
    <x v="4"/>
    <x v="42"/>
    <x v="25"/>
    <x v="47"/>
    <x v="4"/>
    <x v="0"/>
    <x v="3"/>
    <x v="8"/>
    <x v="13"/>
    <x v="15"/>
    <x v="15"/>
    <x v="22"/>
    <x v="11"/>
    <x v="4"/>
    <x v="8"/>
    <x v="4"/>
  </r>
  <r>
    <x v="0"/>
    <x v="2"/>
    <x v="4"/>
    <x v="42"/>
    <x v="109"/>
    <x v="55"/>
    <x v="4"/>
    <x v="0"/>
    <x v="3"/>
    <x v="8"/>
    <x v="13"/>
    <x v="15"/>
    <x v="15"/>
    <x v="22"/>
    <x v="11"/>
    <x v="4"/>
    <x v="8"/>
    <x v="4"/>
  </r>
  <r>
    <x v="0"/>
    <x v="2"/>
    <x v="5"/>
    <x v="50"/>
    <x v="138"/>
    <x v="42"/>
    <x v="4"/>
    <x v="0"/>
    <x v="3"/>
    <x v="8"/>
    <x v="13"/>
    <x v="15"/>
    <x v="15"/>
    <x v="22"/>
    <x v="11"/>
    <x v="4"/>
    <x v="8"/>
    <x v="4"/>
  </r>
  <r>
    <x v="0"/>
    <x v="2"/>
    <x v="5"/>
    <x v="50"/>
    <x v="137"/>
    <x v="42"/>
    <x v="4"/>
    <x v="0"/>
    <x v="3"/>
    <x v="8"/>
    <x v="13"/>
    <x v="15"/>
    <x v="15"/>
    <x v="22"/>
    <x v="11"/>
    <x v="4"/>
    <x v="8"/>
    <x v="4"/>
  </r>
  <r>
    <x v="0"/>
    <x v="2"/>
    <x v="5"/>
    <x v="50"/>
    <x v="136"/>
    <x v="42"/>
    <x v="4"/>
    <x v="0"/>
    <x v="3"/>
    <x v="8"/>
    <x v="13"/>
    <x v="15"/>
    <x v="15"/>
    <x v="22"/>
    <x v="11"/>
    <x v="4"/>
    <x v="8"/>
    <x v="4"/>
  </r>
  <r>
    <x v="0"/>
    <x v="2"/>
    <x v="5"/>
    <x v="50"/>
    <x v="60"/>
    <x v="42"/>
    <x v="4"/>
    <x v="0"/>
    <x v="3"/>
    <x v="8"/>
    <x v="13"/>
    <x v="15"/>
    <x v="15"/>
    <x v="22"/>
    <x v="11"/>
    <x v="4"/>
    <x v="8"/>
    <x v="4"/>
  </r>
  <r>
    <x v="0"/>
    <x v="2"/>
    <x v="5"/>
    <x v="50"/>
    <x v="151"/>
    <x v="45"/>
    <x v="4"/>
    <x v="0"/>
    <x v="3"/>
    <x v="8"/>
    <x v="13"/>
    <x v="15"/>
    <x v="15"/>
    <x v="22"/>
    <x v="11"/>
    <x v="4"/>
    <x v="8"/>
    <x v="4"/>
  </r>
  <r>
    <x v="0"/>
    <x v="2"/>
    <x v="6"/>
    <x v="50"/>
    <x v="143"/>
    <x v="41"/>
    <x v="4"/>
    <x v="0"/>
    <x v="3"/>
    <x v="8"/>
    <x v="13"/>
    <x v="15"/>
    <x v="15"/>
    <x v="22"/>
    <x v="11"/>
    <x v="4"/>
    <x v="8"/>
    <x v="4"/>
  </r>
  <r>
    <x v="0"/>
    <x v="2"/>
    <x v="6"/>
    <x v="50"/>
    <x v="25"/>
    <x v="47"/>
    <x v="4"/>
    <x v="0"/>
    <x v="3"/>
    <x v="8"/>
    <x v="13"/>
    <x v="15"/>
    <x v="15"/>
    <x v="22"/>
    <x v="11"/>
    <x v="4"/>
    <x v="8"/>
    <x v="4"/>
  </r>
  <r>
    <x v="0"/>
    <x v="2"/>
    <x v="6"/>
    <x v="50"/>
    <x v="109"/>
    <x v="52"/>
    <x v="8"/>
    <x v="0"/>
    <x v="3"/>
    <x v="8"/>
    <x v="13"/>
    <x v="15"/>
    <x v="15"/>
    <x v="22"/>
    <x v="11"/>
    <x v="4"/>
    <x v="8"/>
    <x v="4"/>
  </r>
  <r>
    <x v="0"/>
    <x v="2"/>
    <x v="6"/>
    <x v="50"/>
    <x v="140"/>
    <x v="59"/>
    <x v="8"/>
    <x v="0"/>
    <x v="3"/>
    <x v="8"/>
    <x v="13"/>
    <x v="15"/>
    <x v="15"/>
    <x v="22"/>
    <x v="11"/>
    <x v="4"/>
    <x v="8"/>
    <x v="4"/>
  </r>
  <r>
    <x v="0"/>
    <x v="2"/>
    <x v="7"/>
    <x v="50"/>
    <x v="43"/>
    <x v="38"/>
    <x v="4"/>
    <x v="0"/>
    <x v="3"/>
    <x v="8"/>
    <x v="13"/>
    <x v="15"/>
    <x v="15"/>
    <x v="22"/>
    <x v="11"/>
    <x v="4"/>
    <x v="8"/>
    <x v="4"/>
  </r>
  <r>
    <x v="0"/>
    <x v="2"/>
    <x v="8"/>
    <x v="33"/>
    <x v="138"/>
    <x v="42"/>
    <x v="4"/>
    <x v="0"/>
    <x v="3"/>
    <x v="8"/>
    <x v="13"/>
    <x v="15"/>
    <x v="15"/>
    <x v="22"/>
    <x v="11"/>
    <x v="4"/>
    <x v="8"/>
    <x v="4"/>
  </r>
  <r>
    <x v="0"/>
    <x v="2"/>
    <x v="8"/>
    <x v="33"/>
    <x v="137"/>
    <x v="42"/>
    <x v="4"/>
    <x v="0"/>
    <x v="3"/>
    <x v="8"/>
    <x v="13"/>
    <x v="15"/>
    <x v="15"/>
    <x v="22"/>
    <x v="11"/>
    <x v="4"/>
    <x v="8"/>
    <x v="4"/>
  </r>
  <r>
    <x v="0"/>
    <x v="2"/>
    <x v="8"/>
    <x v="33"/>
    <x v="184"/>
    <x v="42"/>
    <x v="4"/>
    <x v="0"/>
    <x v="3"/>
    <x v="8"/>
    <x v="13"/>
    <x v="15"/>
    <x v="15"/>
    <x v="22"/>
    <x v="11"/>
    <x v="4"/>
    <x v="8"/>
    <x v="4"/>
  </r>
  <r>
    <x v="0"/>
    <x v="2"/>
    <x v="8"/>
    <x v="33"/>
    <x v="151"/>
    <x v="45"/>
    <x v="4"/>
    <x v="0"/>
    <x v="3"/>
    <x v="8"/>
    <x v="13"/>
    <x v="15"/>
    <x v="15"/>
    <x v="22"/>
    <x v="11"/>
    <x v="4"/>
    <x v="8"/>
    <x v="4"/>
  </r>
  <r>
    <x v="0"/>
    <x v="2"/>
    <x v="9"/>
    <x v="33"/>
    <x v="143"/>
    <x v="41"/>
    <x v="4"/>
    <x v="0"/>
    <x v="3"/>
    <x v="8"/>
    <x v="13"/>
    <x v="15"/>
    <x v="15"/>
    <x v="22"/>
    <x v="11"/>
    <x v="4"/>
    <x v="8"/>
    <x v="4"/>
  </r>
  <r>
    <x v="0"/>
    <x v="2"/>
    <x v="9"/>
    <x v="33"/>
    <x v="25"/>
    <x v="47"/>
    <x v="4"/>
    <x v="0"/>
    <x v="3"/>
    <x v="8"/>
    <x v="13"/>
    <x v="15"/>
    <x v="15"/>
    <x v="22"/>
    <x v="11"/>
    <x v="4"/>
    <x v="8"/>
    <x v="4"/>
  </r>
  <r>
    <x v="0"/>
    <x v="2"/>
    <x v="9"/>
    <x v="33"/>
    <x v="108"/>
    <x v="52"/>
    <x v="8"/>
    <x v="0"/>
    <x v="3"/>
    <x v="8"/>
    <x v="13"/>
    <x v="15"/>
    <x v="15"/>
    <x v="22"/>
    <x v="11"/>
    <x v="4"/>
    <x v="8"/>
    <x v="4"/>
  </r>
  <r>
    <x v="0"/>
    <x v="2"/>
    <x v="11"/>
    <x v="19"/>
    <x v="106"/>
    <x v="4"/>
    <x v="0"/>
    <x v="0"/>
    <x v="3"/>
    <x v="1"/>
    <x v="4"/>
    <x v="6"/>
    <x v="10"/>
    <x v="1"/>
    <x v="10"/>
    <x v="37"/>
    <x v="11"/>
    <x v="5"/>
  </r>
  <r>
    <x v="0"/>
    <x v="2"/>
    <x v="11"/>
    <x v="19"/>
    <x v="180"/>
    <x v="4"/>
    <x v="0"/>
    <x v="0"/>
    <x v="3"/>
    <x v="1"/>
    <x v="4"/>
    <x v="6"/>
    <x v="10"/>
    <x v="1"/>
    <x v="10"/>
    <x v="37"/>
    <x v="11"/>
    <x v="5"/>
  </r>
  <r>
    <x v="0"/>
    <x v="2"/>
    <x v="12"/>
    <x v="34"/>
    <x v="143"/>
    <x v="41"/>
    <x v="4"/>
    <x v="0"/>
    <x v="3"/>
    <x v="8"/>
    <x v="13"/>
    <x v="15"/>
    <x v="15"/>
    <x v="22"/>
    <x v="11"/>
    <x v="4"/>
    <x v="8"/>
    <x v="4"/>
  </r>
  <r>
    <x v="0"/>
    <x v="2"/>
    <x v="12"/>
    <x v="34"/>
    <x v="138"/>
    <x v="42"/>
    <x v="4"/>
    <x v="0"/>
    <x v="3"/>
    <x v="8"/>
    <x v="13"/>
    <x v="15"/>
    <x v="15"/>
    <x v="22"/>
    <x v="11"/>
    <x v="4"/>
    <x v="8"/>
    <x v="4"/>
  </r>
  <r>
    <x v="0"/>
    <x v="2"/>
    <x v="12"/>
    <x v="34"/>
    <x v="137"/>
    <x v="42"/>
    <x v="4"/>
    <x v="0"/>
    <x v="3"/>
    <x v="8"/>
    <x v="13"/>
    <x v="15"/>
    <x v="15"/>
    <x v="22"/>
    <x v="11"/>
    <x v="4"/>
    <x v="8"/>
    <x v="4"/>
  </r>
  <r>
    <x v="0"/>
    <x v="2"/>
    <x v="12"/>
    <x v="34"/>
    <x v="184"/>
    <x v="42"/>
    <x v="4"/>
    <x v="0"/>
    <x v="3"/>
    <x v="8"/>
    <x v="13"/>
    <x v="15"/>
    <x v="15"/>
    <x v="22"/>
    <x v="11"/>
    <x v="4"/>
    <x v="8"/>
    <x v="4"/>
  </r>
  <r>
    <x v="0"/>
    <x v="2"/>
    <x v="12"/>
    <x v="34"/>
    <x v="25"/>
    <x v="47"/>
    <x v="4"/>
    <x v="0"/>
    <x v="3"/>
    <x v="8"/>
    <x v="13"/>
    <x v="15"/>
    <x v="15"/>
    <x v="22"/>
    <x v="11"/>
    <x v="4"/>
    <x v="8"/>
    <x v="4"/>
  </r>
  <r>
    <x v="0"/>
    <x v="2"/>
    <x v="12"/>
    <x v="34"/>
    <x v="108"/>
    <x v="55"/>
    <x v="8"/>
    <x v="0"/>
    <x v="3"/>
    <x v="8"/>
    <x v="13"/>
    <x v="15"/>
    <x v="15"/>
    <x v="22"/>
    <x v="11"/>
    <x v="4"/>
    <x v="8"/>
    <x v="4"/>
  </r>
  <r>
    <x v="0"/>
    <x v="2"/>
    <x v="13"/>
    <x v="39"/>
    <x v="151"/>
    <x v="45"/>
    <x v="4"/>
    <x v="0"/>
    <x v="3"/>
    <x v="8"/>
    <x v="13"/>
    <x v="15"/>
    <x v="15"/>
    <x v="22"/>
    <x v="11"/>
    <x v="4"/>
    <x v="8"/>
    <x v="4"/>
  </r>
  <r>
    <x v="0"/>
    <x v="2"/>
    <x v="14"/>
    <x v="39"/>
    <x v="143"/>
    <x v="41"/>
    <x v="4"/>
    <x v="0"/>
    <x v="3"/>
    <x v="8"/>
    <x v="13"/>
    <x v="15"/>
    <x v="15"/>
    <x v="22"/>
    <x v="11"/>
    <x v="4"/>
    <x v="8"/>
    <x v="4"/>
  </r>
  <r>
    <x v="0"/>
    <x v="2"/>
    <x v="14"/>
    <x v="39"/>
    <x v="25"/>
    <x v="47"/>
    <x v="4"/>
    <x v="0"/>
    <x v="3"/>
    <x v="8"/>
    <x v="13"/>
    <x v="15"/>
    <x v="15"/>
    <x v="22"/>
    <x v="11"/>
    <x v="4"/>
    <x v="8"/>
    <x v="4"/>
  </r>
  <r>
    <x v="0"/>
    <x v="2"/>
    <x v="14"/>
    <x v="39"/>
    <x v="109"/>
    <x v="55"/>
    <x v="8"/>
    <x v="0"/>
    <x v="3"/>
    <x v="8"/>
    <x v="13"/>
    <x v="15"/>
    <x v="15"/>
    <x v="22"/>
    <x v="11"/>
    <x v="4"/>
    <x v="8"/>
    <x v="4"/>
  </r>
  <r>
    <x v="0"/>
    <x v="2"/>
    <x v="15"/>
    <x v="40"/>
    <x v="143"/>
    <x v="41"/>
    <x v="4"/>
    <x v="0"/>
    <x v="3"/>
    <x v="8"/>
    <x v="13"/>
    <x v="15"/>
    <x v="15"/>
    <x v="22"/>
    <x v="11"/>
    <x v="4"/>
    <x v="8"/>
    <x v="4"/>
  </r>
  <r>
    <x v="0"/>
    <x v="2"/>
    <x v="15"/>
    <x v="40"/>
    <x v="25"/>
    <x v="47"/>
    <x v="4"/>
    <x v="0"/>
    <x v="3"/>
    <x v="8"/>
    <x v="13"/>
    <x v="15"/>
    <x v="15"/>
    <x v="22"/>
    <x v="11"/>
    <x v="4"/>
    <x v="8"/>
    <x v="4"/>
  </r>
  <r>
    <x v="0"/>
    <x v="2"/>
    <x v="15"/>
    <x v="40"/>
    <x v="109"/>
    <x v="55"/>
    <x v="8"/>
    <x v="0"/>
    <x v="3"/>
    <x v="8"/>
    <x v="13"/>
    <x v="15"/>
    <x v="15"/>
    <x v="22"/>
    <x v="11"/>
    <x v="4"/>
    <x v="8"/>
    <x v="4"/>
  </r>
  <r>
    <x v="0"/>
    <x v="2"/>
    <x v="16"/>
    <x v="29"/>
    <x v="151"/>
    <x v="45"/>
    <x v="4"/>
    <x v="0"/>
    <x v="3"/>
    <x v="8"/>
    <x v="13"/>
    <x v="15"/>
    <x v="15"/>
    <x v="22"/>
    <x v="11"/>
    <x v="4"/>
    <x v="8"/>
    <x v="4"/>
  </r>
  <r>
    <x v="0"/>
    <x v="2"/>
    <x v="17"/>
    <x v="29"/>
    <x v="143"/>
    <x v="40"/>
    <x v="4"/>
    <x v="0"/>
    <x v="3"/>
    <x v="8"/>
    <x v="13"/>
    <x v="15"/>
    <x v="15"/>
    <x v="22"/>
    <x v="11"/>
    <x v="4"/>
    <x v="8"/>
    <x v="4"/>
  </r>
  <r>
    <x v="0"/>
    <x v="2"/>
    <x v="17"/>
    <x v="29"/>
    <x v="138"/>
    <x v="42"/>
    <x v="4"/>
    <x v="0"/>
    <x v="3"/>
    <x v="8"/>
    <x v="13"/>
    <x v="15"/>
    <x v="15"/>
    <x v="22"/>
    <x v="11"/>
    <x v="4"/>
    <x v="8"/>
    <x v="4"/>
  </r>
  <r>
    <x v="0"/>
    <x v="2"/>
    <x v="17"/>
    <x v="29"/>
    <x v="137"/>
    <x v="42"/>
    <x v="4"/>
    <x v="0"/>
    <x v="3"/>
    <x v="8"/>
    <x v="13"/>
    <x v="15"/>
    <x v="15"/>
    <x v="22"/>
    <x v="11"/>
    <x v="4"/>
    <x v="8"/>
    <x v="4"/>
  </r>
  <r>
    <x v="0"/>
    <x v="2"/>
    <x v="17"/>
    <x v="29"/>
    <x v="184"/>
    <x v="42"/>
    <x v="4"/>
    <x v="0"/>
    <x v="3"/>
    <x v="8"/>
    <x v="13"/>
    <x v="15"/>
    <x v="15"/>
    <x v="22"/>
    <x v="11"/>
    <x v="4"/>
    <x v="8"/>
    <x v="4"/>
  </r>
  <r>
    <x v="0"/>
    <x v="2"/>
    <x v="17"/>
    <x v="29"/>
    <x v="25"/>
    <x v="49"/>
    <x v="4"/>
    <x v="0"/>
    <x v="3"/>
    <x v="8"/>
    <x v="13"/>
    <x v="15"/>
    <x v="15"/>
    <x v="22"/>
    <x v="11"/>
    <x v="4"/>
    <x v="8"/>
    <x v="4"/>
  </r>
  <r>
    <x v="0"/>
    <x v="2"/>
    <x v="17"/>
    <x v="29"/>
    <x v="108"/>
    <x v="55"/>
    <x v="8"/>
    <x v="0"/>
    <x v="3"/>
    <x v="8"/>
    <x v="13"/>
    <x v="15"/>
    <x v="15"/>
    <x v="22"/>
    <x v="11"/>
    <x v="4"/>
    <x v="8"/>
    <x v="4"/>
  </r>
  <r>
    <x v="0"/>
    <x v="2"/>
    <x v="19"/>
    <x v="30"/>
    <x v="143"/>
    <x v="40"/>
    <x v="4"/>
    <x v="0"/>
    <x v="3"/>
    <x v="8"/>
    <x v="13"/>
    <x v="15"/>
    <x v="15"/>
    <x v="22"/>
    <x v="11"/>
    <x v="4"/>
    <x v="8"/>
    <x v="4"/>
  </r>
  <r>
    <x v="0"/>
    <x v="2"/>
    <x v="19"/>
    <x v="30"/>
    <x v="138"/>
    <x v="42"/>
    <x v="4"/>
    <x v="0"/>
    <x v="3"/>
    <x v="8"/>
    <x v="13"/>
    <x v="15"/>
    <x v="15"/>
    <x v="22"/>
    <x v="11"/>
    <x v="4"/>
    <x v="8"/>
    <x v="4"/>
  </r>
  <r>
    <x v="0"/>
    <x v="2"/>
    <x v="19"/>
    <x v="30"/>
    <x v="137"/>
    <x v="42"/>
    <x v="4"/>
    <x v="0"/>
    <x v="3"/>
    <x v="8"/>
    <x v="13"/>
    <x v="15"/>
    <x v="15"/>
    <x v="22"/>
    <x v="11"/>
    <x v="4"/>
    <x v="8"/>
    <x v="4"/>
  </r>
  <r>
    <x v="0"/>
    <x v="2"/>
    <x v="19"/>
    <x v="30"/>
    <x v="184"/>
    <x v="42"/>
    <x v="4"/>
    <x v="0"/>
    <x v="3"/>
    <x v="8"/>
    <x v="13"/>
    <x v="15"/>
    <x v="15"/>
    <x v="22"/>
    <x v="11"/>
    <x v="4"/>
    <x v="8"/>
    <x v="4"/>
  </r>
  <r>
    <x v="0"/>
    <x v="2"/>
    <x v="19"/>
    <x v="30"/>
    <x v="25"/>
    <x v="49"/>
    <x v="4"/>
    <x v="0"/>
    <x v="3"/>
    <x v="8"/>
    <x v="13"/>
    <x v="15"/>
    <x v="15"/>
    <x v="22"/>
    <x v="11"/>
    <x v="4"/>
    <x v="8"/>
    <x v="4"/>
  </r>
  <r>
    <x v="0"/>
    <x v="2"/>
    <x v="19"/>
    <x v="30"/>
    <x v="108"/>
    <x v="55"/>
    <x v="8"/>
    <x v="0"/>
    <x v="3"/>
    <x v="8"/>
    <x v="13"/>
    <x v="15"/>
    <x v="15"/>
    <x v="22"/>
    <x v="11"/>
    <x v="4"/>
    <x v="8"/>
    <x v="4"/>
  </r>
  <r>
    <x v="0"/>
    <x v="2"/>
    <x v="20"/>
    <x v="49"/>
    <x v="11"/>
    <x v="2"/>
    <x v="0"/>
    <x v="0"/>
    <x v="3"/>
    <x v="1"/>
    <x v="8"/>
    <x v="0"/>
    <x v="0"/>
    <x v="22"/>
    <x v="11"/>
    <x v="4"/>
    <x v="8"/>
    <x v="4"/>
  </r>
  <r>
    <x v="0"/>
    <x v="2"/>
    <x v="20"/>
    <x v="49"/>
    <x v="138"/>
    <x v="42"/>
    <x v="4"/>
    <x v="0"/>
    <x v="3"/>
    <x v="8"/>
    <x v="13"/>
    <x v="15"/>
    <x v="15"/>
    <x v="22"/>
    <x v="11"/>
    <x v="4"/>
    <x v="8"/>
    <x v="4"/>
  </r>
  <r>
    <x v="0"/>
    <x v="2"/>
    <x v="20"/>
    <x v="49"/>
    <x v="137"/>
    <x v="42"/>
    <x v="4"/>
    <x v="0"/>
    <x v="3"/>
    <x v="8"/>
    <x v="13"/>
    <x v="15"/>
    <x v="15"/>
    <x v="22"/>
    <x v="11"/>
    <x v="4"/>
    <x v="8"/>
    <x v="4"/>
  </r>
  <r>
    <x v="0"/>
    <x v="2"/>
    <x v="20"/>
    <x v="49"/>
    <x v="136"/>
    <x v="42"/>
    <x v="4"/>
    <x v="0"/>
    <x v="3"/>
    <x v="8"/>
    <x v="13"/>
    <x v="15"/>
    <x v="15"/>
    <x v="22"/>
    <x v="11"/>
    <x v="4"/>
    <x v="8"/>
    <x v="4"/>
  </r>
  <r>
    <x v="0"/>
    <x v="2"/>
    <x v="20"/>
    <x v="49"/>
    <x v="60"/>
    <x v="42"/>
    <x v="4"/>
    <x v="0"/>
    <x v="3"/>
    <x v="8"/>
    <x v="13"/>
    <x v="15"/>
    <x v="15"/>
    <x v="22"/>
    <x v="11"/>
    <x v="4"/>
    <x v="8"/>
    <x v="4"/>
  </r>
  <r>
    <x v="0"/>
    <x v="2"/>
    <x v="21"/>
    <x v="49"/>
    <x v="151"/>
    <x v="45"/>
    <x v="4"/>
    <x v="0"/>
    <x v="3"/>
    <x v="8"/>
    <x v="13"/>
    <x v="15"/>
    <x v="15"/>
    <x v="22"/>
    <x v="11"/>
    <x v="4"/>
    <x v="8"/>
    <x v="4"/>
  </r>
  <r>
    <x v="0"/>
    <x v="2"/>
    <x v="22"/>
    <x v="51"/>
    <x v="11"/>
    <x v="2"/>
    <x v="0"/>
    <x v="0"/>
    <x v="3"/>
    <x v="1"/>
    <x v="8"/>
    <x v="0"/>
    <x v="0"/>
    <x v="22"/>
    <x v="23"/>
    <x v="47"/>
    <x v="11"/>
    <x v="6"/>
  </r>
  <r>
    <x v="0"/>
    <x v="2"/>
    <x v="22"/>
    <x v="51"/>
    <x v="138"/>
    <x v="42"/>
    <x v="4"/>
    <x v="0"/>
    <x v="3"/>
    <x v="8"/>
    <x v="13"/>
    <x v="15"/>
    <x v="15"/>
    <x v="22"/>
    <x v="11"/>
    <x v="4"/>
    <x v="8"/>
    <x v="4"/>
  </r>
  <r>
    <x v="0"/>
    <x v="2"/>
    <x v="22"/>
    <x v="51"/>
    <x v="137"/>
    <x v="42"/>
    <x v="4"/>
    <x v="0"/>
    <x v="3"/>
    <x v="8"/>
    <x v="13"/>
    <x v="15"/>
    <x v="15"/>
    <x v="22"/>
    <x v="11"/>
    <x v="4"/>
    <x v="8"/>
    <x v="4"/>
  </r>
  <r>
    <x v="0"/>
    <x v="2"/>
    <x v="22"/>
    <x v="51"/>
    <x v="136"/>
    <x v="42"/>
    <x v="4"/>
    <x v="0"/>
    <x v="3"/>
    <x v="8"/>
    <x v="13"/>
    <x v="15"/>
    <x v="15"/>
    <x v="22"/>
    <x v="11"/>
    <x v="4"/>
    <x v="8"/>
    <x v="4"/>
  </r>
  <r>
    <x v="0"/>
    <x v="2"/>
    <x v="22"/>
    <x v="51"/>
    <x v="60"/>
    <x v="42"/>
    <x v="4"/>
    <x v="0"/>
    <x v="3"/>
    <x v="8"/>
    <x v="13"/>
    <x v="15"/>
    <x v="15"/>
    <x v="22"/>
    <x v="11"/>
    <x v="4"/>
    <x v="8"/>
    <x v="4"/>
  </r>
  <r>
    <x v="0"/>
    <x v="2"/>
    <x v="23"/>
    <x v="49"/>
    <x v="143"/>
    <x v="41"/>
    <x v="4"/>
    <x v="0"/>
    <x v="3"/>
    <x v="8"/>
    <x v="13"/>
    <x v="15"/>
    <x v="15"/>
    <x v="22"/>
    <x v="11"/>
    <x v="4"/>
    <x v="8"/>
    <x v="4"/>
  </r>
  <r>
    <x v="0"/>
    <x v="2"/>
    <x v="23"/>
    <x v="49"/>
    <x v="25"/>
    <x v="47"/>
    <x v="4"/>
    <x v="0"/>
    <x v="3"/>
    <x v="8"/>
    <x v="13"/>
    <x v="15"/>
    <x v="15"/>
    <x v="22"/>
    <x v="11"/>
    <x v="4"/>
    <x v="8"/>
    <x v="4"/>
  </r>
  <r>
    <x v="0"/>
    <x v="2"/>
    <x v="23"/>
    <x v="49"/>
    <x v="109"/>
    <x v="55"/>
    <x v="8"/>
    <x v="0"/>
    <x v="3"/>
    <x v="8"/>
    <x v="13"/>
    <x v="15"/>
    <x v="15"/>
    <x v="22"/>
    <x v="11"/>
    <x v="4"/>
    <x v="8"/>
    <x v="4"/>
  </r>
  <r>
    <x v="0"/>
    <x v="2"/>
    <x v="23"/>
    <x v="49"/>
    <x v="140"/>
    <x v="59"/>
    <x v="8"/>
    <x v="0"/>
    <x v="3"/>
    <x v="8"/>
    <x v="13"/>
    <x v="15"/>
    <x v="15"/>
    <x v="22"/>
    <x v="11"/>
    <x v="4"/>
    <x v="8"/>
    <x v="4"/>
  </r>
  <r>
    <x v="0"/>
    <x v="2"/>
    <x v="24"/>
    <x v="49"/>
    <x v="43"/>
    <x v="38"/>
    <x v="4"/>
    <x v="0"/>
    <x v="3"/>
    <x v="8"/>
    <x v="13"/>
    <x v="15"/>
    <x v="15"/>
    <x v="22"/>
    <x v="11"/>
    <x v="4"/>
    <x v="8"/>
    <x v="4"/>
  </r>
  <r>
    <x v="0"/>
    <x v="2"/>
    <x v="25"/>
    <x v="47"/>
    <x v="151"/>
    <x v="45"/>
    <x v="4"/>
    <x v="0"/>
    <x v="3"/>
    <x v="8"/>
    <x v="13"/>
    <x v="15"/>
    <x v="15"/>
    <x v="22"/>
    <x v="11"/>
    <x v="4"/>
    <x v="8"/>
    <x v="4"/>
  </r>
  <r>
    <x v="0"/>
    <x v="2"/>
    <x v="26"/>
    <x v="47"/>
    <x v="62"/>
    <x v="41"/>
    <x v="4"/>
    <x v="0"/>
    <x v="3"/>
    <x v="8"/>
    <x v="13"/>
    <x v="15"/>
    <x v="15"/>
    <x v="22"/>
    <x v="11"/>
    <x v="4"/>
    <x v="8"/>
    <x v="4"/>
  </r>
  <r>
    <x v="0"/>
    <x v="2"/>
    <x v="26"/>
    <x v="47"/>
    <x v="95"/>
    <x v="40"/>
    <x v="4"/>
    <x v="0"/>
    <x v="3"/>
    <x v="8"/>
    <x v="13"/>
    <x v="15"/>
    <x v="15"/>
    <x v="22"/>
    <x v="11"/>
    <x v="4"/>
    <x v="8"/>
    <x v="4"/>
  </r>
  <r>
    <x v="0"/>
    <x v="2"/>
    <x v="26"/>
    <x v="47"/>
    <x v="94"/>
    <x v="49"/>
    <x v="4"/>
    <x v="0"/>
    <x v="3"/>
    <x v="8"/>
    <x v="13"/>
    <x v="15"/>
    <x v="15"/>
    <x v="22"/>
    <x v="11"/>
    <x v="4"/>
    <x v="8"/>
    <x v="4"/>
  </r>
  <r>
    <x v="0"/>
    <x v="2"/>
    <x v="26"/>
    <x v="47"/>
    <x v="61"/>
    <x v="47"/>
    <x v="4"/>
    <x v="0"/>
    <x v="3"/>
    <x v="8"/>
    <x v="13"/>
    <x v="15"/>
    <x v="15"/>
    <x v="22"/>
    <x v="11"/>
    <x v="4"/>
    <x v="8"/>
    <x v="4"/>
  </r>
  <r>
    <x v="0"/>
    <x v="2"/>
    <x v="26"/>
    <x v="47"/>
    <x v="119"/>
    <x v="56"/>
    <x v="8"/>
    <x v="0"/>
    <x v="3"/>
    <x v="8"/>
    <x v="13"/>
    <x v="15"/>
    <x v="15"/>
    <x v="22"/>
    <x v="11"/>
    <x v="4"/>
    <x v="8"/>
    <x v="4"/>
  </r>
  <r>
    <x v="0"/>
    <x v="2"/>
    <x v="27"/>
    <x v="37"/>
    <x v="151"/>
    <x v="45"/>
    <x v="4"/>
    <x v="0"/>
    <x v="3"/>
    <x v="8"/>
    <x v="13"/>
    <x v="15"/>
    <x v="15"/>
    <x v="22"/>
    <x v="11"/>
    <x v="4"/>
    <x v="8"/>
    <x v="4"/>
  </r>
  <r>
    <x v="0"/>
    <x v="2"/>
    <x v="28"/>
    <x v="37"/>
    <x v="143"/>
    <x v="40"/>
    <x v="4"/>
    <x v="0"/>
    <x v="3"/>
    <x v="8"/>
    <x v="13"/>
    <x v="15"/>
    <x v="15"/>
    <x v="22"/>
    <x v="11"/>
    <x v="4"/>
    <x v="8"/>
    <x v="4"/>
  </r>
  <r>
    <x v="0"/>
    <x v="2"/>
    <x v="28"/>
    <x v="37"/>
    <x v="25"/>
    <x v="49"/>
    <x v="4"/>
    <x v="0"/>
    <x v="3"/>
    <x v="8"/>
    <x v="13"/>
    <x v="15"/>
    <x v="15"/>
    <x v="22"/>
    <x v="11"/>
    <x v="4"/>
    <x v="8"/>
    <x v="4"/>
  </r>
  <r>
    <x v="0"/>
    <x v="2"/>
    <x v="28"/>
    <x v="37"/>
    <x v="108"/>
    <x v="55"/>
    <x v="8"/>
    <x v="0"/>
    <x v="3"/>
    <x v="8"/>
    <x v="13"/>
    <x v="15"/>
    <x v="15"/>
    <x v="22"/>
    <x v="11"/>
    <x v="4"/>
    <x v="8"/>
    <x v="4"/>
  </r>
  <r>
    <x v="0"/>
    <x v="2"/>
    <x v="29"/>
    <x v="84"/>
    <x v="37"/>
    <x v="32"/>
    <x v="1"/>
    <x v="0"/>
    <x v="3"/>
    <x v="8"/>
    <x v="13"/>
    <x v="15"/>
    <x v="15"/>
    <x v="22"/>
    <x v="11"/>
    <x v="24"/>
    <x v="8"/>
    <x v="6"/>
  </r>
  <r>
    <x v="0"/>
    <x v="2"/>
    <x v="30"/>
    <x v="84"/>
    <x v="151"/>
    <x v="45"/>
    <x v="4"/>
    <x v="0"/>
    <x v="3"/>
    <x v="8"/>
    <x v="13"/>
    <x v="15"/>
    <x v="15"/>
    <x v="22"/>
    <x v="8"/>
    <x v="18"/>
    <x v="11"/>
    <x v="6"/>
  </r>
  <r>
    <x v="0"/>
    <x v="2"/>
    <x v="31"/>
    <x v="55"/>
    <x v="88"/>
    <x v="24"/>
    <x v="1"/>
    <x v="0"/>
    <x v="3"/>
    <x v="8"/>
    <x v="13"/>
    <x v="15"/>
    <x v="15"/>
    <x v="22"/>
    <x v="11"/>
    <x v="4"/>
    <x v="8"/>
    <x v="4"/>
  </r>
  <r>
    <x v="0"/>
    <x v="2"/>
    <x v="31"/>
    <x v="55"/>
    <x v="138"/>
    <x v="42"/>
    <x v="4"/>
    <x v="0"/>
    <x v="3"/>
    <x v="8"/>
    <x v="13"/>
    <x v="15"/>
    <x v="15"/>
    <x v="22"/>
    <x v="11"/>
    <x v="4"/>
    <x v="8"/>
    <x v="4"/>
  </r>
  <r>
    <x v="0"/>
    <x v="2"/>
    <x v="31"/>
    <x v="55"/>
    <x v="137"/>
    <x v="42"/>
    <x v="4"/>
    <x v="0"/>
    <x v="3"/>
    <x v="8"/>
    <x v="13"/>
    <x v="15"/>
    <x v="15"/>
    <x v="22"/>
    <x v="11"/>
    <x v="4"/>
    <x v="8"/>
    <x v="4"/>
  </r>
  <r>
    <x v="0"/>
    <x v="2"/>
    <x v="31"/>
    <x v="55"/>
    <x v="2"/>
    <x v="42"/>
    <x v="4"/>
    <x v="0"/>
    <x v="3"/>
    <x v="8"/>
    <x v="13"/>
    <x v="15"/>
    <x v="15"/>
    <x v="22"/>
    <x v="11"/>
    <x v="4"/>
    <x v="8"/>
    <x v="4"/>
  </r>
  <r>
    <x v="0"/>
    <x v="2"/>
    <x v="31"/>
    <x v="55"/>
    <x v="184"/>
    <x v="42"/>
    <x v="4"/>
    <x v="0"/>
    <x v="3"/>
    <x v="8"/>
    <x v="13"/>
    <x v="15"/>
    <x v="15"/>
    <x v="22"/>
    <x v="11"/>
    <x v="4"/>
    <x v="8"/>
    <x v="4"/>
  </r>
  <r>
    <x v="0"/>
    <x v="2"/>
    <x v="31"/>
    <x v="55"/>
    <x v="151"/>
    <x v="45"/>
    <x v="4"/>
    <x v="0"/>
    <x v="3"/>
    <x v="8"/>
    <x v="13"/>
    <x v="15"/>
    <x v="15"/>
    <x v="22"/>
    <x v="11"/>
    <x v="4"/>
    <x v="8"/>
    <x v="4"/>
  </r>
  <r>
    <x v="0"/>
    <x v="2"/>
    <x v="32"/>
    <x v="55"/>
    <x v="30"/>
    <x v="41"/>
    <x v="4"/>
    <x v="0"/>
    <x v="3"/>
    <x v="8"/>
    <x v="13"/>
    <x v="15"/>
    <x v="15"/>
    <x v="22"/>
    <x v="11"/>
    <x v="4"/>
    <x v="8"/>
    <x v="4"/>
  </r>
  <r>
    <x v="0"/>
    <x v="2"/>
    <x v="32"/>
    <x v="55"/>
    <x v="33"/>
    <x v="41"/>
    <x v="4"/>
    <x v="0"/>
    <x v="3"/>
    <x v="8"/>
    <x v="13"/>
    <x v="15"/>
    <x v="15"/>
    <x v="22"/>
    <x v="11"/>
    <x v="4"/>
    <x v="8"/>
    <x v="4"/>
  </r>
  <r>
    <x v="0"/>
    <x v="2"/>
    <x v="32"/>
    <x v="55"/>
    <x v="143"/>
    <x v="40"/>
    <x v="12"/>
    <x v="0"/>
    <x v="3"/>
    <x v="8"/>
    <x v="13"/>
    <x v="15"/>
    <x v="15"/>
    <x v="22"/>
    <x v="11"/>
    <x v="4"/>
    <x v="8"/>
    <x v="4"/>
  </r>
  <r>
    <x v="0"/>
    <x v="2"/>
    <x v="32"/>
    <x v="55"/>
    <x v="25"/>
    <x v="49"/>
    <x v="4"/>
    <x v="0"/>
    <x v="3"/>
    <x v="8"/>
    <x v="13"/>
    <x v="15"/>
    <x v="15"/>
    <x v="22"/>
    <x v="11"/>
    <x v="4"/>
    <x v="8"/>
    <x v="4"/>
  </r>
  <r>
    <x v="0"/>
    <x v="2"/>
    <x v="32"/>
    <x v="55"/>
    <x v="31"/>
    <x v="47"/>
    <x v="4"/>
    <x v="0"/>
    <x v="3"/>
    <x v="8"/>
    <x v="13"/>
    <x v="15"/>
    <x v="15"/>
    <x v="22"/>
    <x v="11"/>
    <x v="4"/>
    <x v="8"/>
    <x v="4"/>
  </r>
  <r>
    <x v="0"/>
    <x v="2"/>
    <x v="32"/>
    <x v="55"/>
    <x v="34"/>
    <x v="47"/>
    <x v="4"/>
    <x v="0"/>
    <x v="3"/>
    <x v="8"/>
    <x v="13"/>
    <x v="15"/>
    <x v="15"/>
    <x v="22"/>
    <x v="11"/>
    <x v="4"/>
    <x v="8"/>
    <x v="4"/>
  </r>
  <r>
    <x v="0"/>
    <x v="2"/>
    <x v="32"/>
    <x v="55"/>
    <x v="108"/>
    <x v="55"/>
    <x v="8"/>
    <x v="0"/>
    <x v="3"/>
    <x v="8"/>
    <x v="13"/>
    <x v="15"/>
    <x v="15"/>
    <x v="22"/>
    <x v="11"/>
    <x v="4"/>
    <x v="8"/>
    <x v="4"/>
  </r>
  <r>
    <x v="0"/>
    <x v="2"/>
    <x v="32"/>
    <x v="55"/>
    <x v="29"/>
    <x v="53"/>
    <x v="8"/>
    <x v="0"/>
    <x v="3"/>
    <x v="8"/>
    <x v="13"/>
    <x v="15"/>
    <x v="15"/>
    <x v="22"/>
    <x v="11"/>
    <x v="4"/>
    <x v="8"/>
    <x v="4"/>
  </r>
  <r>
    <x v="0"/>
    <x v="2"/>
    <x v="32"/>
    <x v="55"/>
    <x v="32"/>
    <x v="53"/>
    <x v="8"/>
    <x v="0"/>
    <x v="3"/>
    <x v="8"/>
    <x v="13"/>
    <x v="15"/>
    <x v="15"/>
    <x v="22"/>
    <x v="11"/>
    <x v="4"/>
    <x v="8"/>
    <x v="4"/>
  </r>
  <r>
    <x v="0"/>
    <x v="2"/>
    <x v="33"/>
    <x v="51"/>
    <x v="151"/>
    <x v="45"/>
    <x v="4"/>
    <x v="0"/>
    <x v="3"/>
    <x v="8"/>
    <x v="13"/>
    <x v="15"/>
    <x v="15"/>
    <x v="22"/>
    <x v="11"/>
    <x v="4"/>
    <x v="8"/>
    <x v="4"/>
  </r>
  <r>
    <x v="0"/>
    <x v="2"/>
    <x v="34"/>
    <x v="55"/>
    <x v="41"/>
    <x v="38"/>
    <x v="4"/>
    <x v="0"/>
    <x v="3"/>
    <x v="8"/>
    <x v="13"/>
    <x v="15"/>
    <x v="15"/>
    <x v="22"/>
    <x v="11"/>
    <x v="4"/>
    <x v="8"/>
    <x v="4"/>
  </r>
  <r>
    <x v="0"/>
    <x v="2"/>
    <x v="35"/>
    <x v="43"/>
    <x v="138"/>
    <x v="42"/>
    <x v="4"/>
    <x v="0"/>
    <x v="3"/>
    <x v="8"/>
    <x v="13"/>
    <x v="15"/>
    <x v="15"/>
    <x v="22"/>
    <x v="11"/>
    <x v="4"/>
    <x v="8"/>
    <x v="4"/>
  </r>
  <r>
    <x v="0"/>
    <x v="2"/>
    <x v="35"/>
    <x v="43"/>
    <x v="137"/>
    <x v="42"/>
    <x v="4"/>
    <x v="0"/>
    <x v="3"/>
    <x v="8"/>
    <x v="13"/>
    <x v="15"/>
    <x v="15"/>
    <x v="22"/>
    <x v="11"/>
    <x v="4"/>
    <x v="8"/>
    <x v="4"/>
  </r>
  <r>
    <x v="0"/>
    <x v="2"/>
    <x v="35"/>
    <x v="43"/>
    <x v="184"/>
    <x v="42"/>
    <x v="4"/>
    <x v="0"/>
    <x v="3"/>
    <x v="8"/>
    <x v="13"/>
    <x v="15"/>
    <x v="15"/>
    <x v="22"/>
    <x v="11"/>
    <x v="4"/>
    <x v="8"/>
    <x v="4"/>
  </r>
  <r>
    <x v="0"/>
    <x v="2"/>
    <x v="35"/>
    <x v="43"/>
    <x v="151"/>
    <x v="45"/>
    <x v="4"/>
    <x v="0"/>
    <x v="3"/>
    <x v="8"/>
    <x v="13"/>
    <x v="15"/>
    <x v="15"/>
    <x v="22"/>
    <x v="11"/>
    <x v="4"/>
    <x v="8"/>
    <x v="4"/>
  </r>
  <r>
    <x v="0"/>
    <x v="2"/>
    <x v="36"/>
    <x v="43"/>
    <x v="143"/>
    <x v="41"/>
    <x v="4"/>
    <x v="0"/>
    <x v="3"/>
    <x v="8"/>
    <x v="13"/>
    <x v="15"/>
    <x v="15"/>
    <x v="22"/>
    <x v="11"/>
    <x v="4"/>
    <x v="8"/>
    <x v="4"/>
  </r>
  <r>
    <x v="0"/>
    <x v="2"/>
    <x v="36"/>
    <x v="43"/>
    <x v="25"/>
    <x v="47"/>
    <x v="4"/>
    <x v="0"/>
    <x v="3"/>
    <x v="8"/>
    <x v="13"/>
    <x v="15"/>
    <x v="15"/>
    <x v="22"/>
    <x v="11"/>
    <x v="4"/>
    <x v="8"/>
    <x v="4"/>
  </r>
  <r>
    <x v="0"/>
    <x v="2"/>
    <x v="36"/>
    <x v="43"/>
    <x v="108"/>
    <x v="55"/>
    <x v="8"/>
    <x v="0"/>
    <x v="3"/>
    <x v="8"/>
    <x v="13"/>
    <x v="15"/>
    <x v="15"/>
    <x v="22"/>
    <x v="11"/>
    <x v="4"/>
    <x v="8"/>
    <x v="4"/>
  </r>
  <r>
    <x v="0"/>
    <x v="2"/>
    <x v="37"/>
    <x v="85"/>
    <x v="37"/>
    <x v="32"/>
    <x v="1"/>
    <x v="0"/>
    <x v="3"/>
    <x v="8"/>
    <x v="13"/>
    <x v="15"/>
    <x v="15"/>
    <x v="22"/>
    <x v="11"/>
    <x v="24"/>
    <x v="8"/>
    <x v="6"/>
  </r>
  <r>
    <x v="0"/>
    <x v="2"/>
    <x v="38"/>
    <x v="85"/>
    <x v="151"/>
    <x v="45"/>
    <x v="4"/>
    <x v="0"/>
    <x v="3"/>
    <x v="8"/>
    <x v="13"/>
    <x v="15"/>
    <x v="15"/>
    <x v="22"/>
    <x v="8"/>
    <x v="18"/>
    <x v="11"/>
    <x v="6"/>
  </r>
  <r>
    <x v="0"/>
    <x v="2"/>
    <x v="39"/>
    <x v="57"/>
    <x v="138"/>
    <x v="42"/>
    <x v="4"/>
    <x v="0"/>
    <x v="3"/>
    <x v="8"/>
    <x v="13"/>
    <x v="15"/>
    <x v="15"/>
    <x v="22"/>
    <x v="11"/>
    <x v="4"/>
    <x v="8"/>
    <x v="4"/>
  </r>
  <r>
    <x v="0"/>
    <x v="2"/>
    <x v="39"/>
    <x v="57"/>
    <x v="137"/>
    <x v="42"/>
    <x v="4"/>
    <x v="0"/>
    <x v="3"/>
    <x v="8"/>
    <x v="13"/>
    <x v="15"/>
    <x v="15"/>
    <x v="22"/>
    <x v="11"/>
    <x v="4"/>
    <x v="8"/>
    <x v="4"/>
  </r>
  <r>
    <x v="0"/>
    <x v="2"/>
    <x v="39"/>
    <x v="57"/>
    <x v="2"/>
    <x v="42"/>
    <x v="4"/>
    <x v="0"/>
    <x v="3"/>
    <x v="8"/>
    <x v="13"/>
    <x v="15"/>
    <x v="15"/>
    <x v="22"/>
    <x v="11"/>
    <x v="4"/>
    <x v="8"/>
    <x v="4"/>
  </r>
  <r>
    <x v="0"/>
    <x v="2"/>
    <x v="39"/>
    <x v="57"/>
    <x v="184"/>
    <x v="42"/>
    <x v="4"/>
    <x v="0"/>
    <x v="3"/>
    <x v="8"/>
    <x v="13"/>
    <x v="15"/>
    <x v="15"/>
    <x v="22"/>
    <x v="11"/>
    <x v="4"/>
    <x v="8"/>
    <x v="4"/>
  </r>
  <r>
    <x v="0"/>
    <x v="2"/>
    <x v="39"/>
    <x v="57"/>
    <x v="151"/>
    <x v="45"/>
    <x v="4"/>
    <x v="0"/>
    <x v="3"/>
    <x v="8"/>
    <x v="13"/>
    <x v="15"/>
    <x v="15"/>
    <x v="22"/>
    <x v="11"/>
    <x v="4"/>
    <x v="8"/>
    <x v="4"/>
  </r>
  <r>
    <x v="0"/>
    <x v="2"/>
    <x v="40"/>
    <x v="57"/>
    <x v="143"/>
    <x v="41"/>
    <x v="4"/>
    <x v="0"/>
    <x v="3"/>
    <x v="8"/>
    <x v="13"/>
    <x v="15"/>
    <x v="15"/>
    <x v="22"/>
    <x v="11"/>
    <x v="4"/>
    <x v="8"/>
    <x v="4"/>
  </r>
  <r>
    <x v="0"/>
    <x v="2"/>
    <x v="40"/>
    <x v="57"/>
    <x v="30"/>
    <x v="41"/>
    <x v="4"/>
    <x v="0"/>
    <x v="3"/>
    <x v="8"/>
    <x v="13"/>
    <x v="15"/>
    <x v="15"/>
    <x v="22"/>
    <x v="11"/>
    <x v="4"/>
    <x v="8"/>
    <x v="4"/>
  </r>
  <r>
    <x v="0"/>
    <x v="2"/>
    <x v="40"/>
    <x v="57"/>
    <x v="33"/>
    <x v="41"/>
    <x v="4"/>
    <x v="0"/>
    <x v="3"/>
    <x v="8"/>
    <x v="13"/>
    <x v="15"/>
    <x v="15"/>
    <x v="22"/>
    <x v="11"/>
    <x v="4"/>
    <x v="8"/>
    <x v="4"/>
  </r>
  <r>
    <x v="0"/>
    <x v="2"/>
    <x v="40"/>
    <x v="57"/>
    <x v="25"/>
    <x v="47"/>
    <x v="4"/>
    <x v="0"/>
    <x v="3"/>
    <x v="8"/>
    <x v="13"/>
    <x v="15"/>
    <x v="15"/>
    <x v="22"/>
    <x v="11"/>
    <x v="4"/>
    <x v="8"/>
    <x v="4"/>
  </r>
  <r>
    <x v="0"/>
    <x v="2"/>
    <x v="40"/>
    <x v="57"/>
    <x v="31"/>
    <x v="47"/>
    <x v="4"/>
    <x v="0"/>
    <x v="3"/>
    <x v="8"/>
    <x v="13"/>
    <x v="15"/>
    <x v="15"/>
    <x v="22"/>
    <x v="11"/>
    <x v="4"/>
    <x v="8"/>
    <x v="4"/>
  </r>
  <r>
    <x v="0"/>
    <x v="2"/>
    <x v="40"/>
    <x v="57"/>
    <x v="34"/>
    <x v="47"/>
    <x v="4"/>
    <x v="0"/>
    <x v="3"/>
    <x v="8"/>
    <x v="13"/>
    <x v="15"/>
    <x v="15"/>
    <x v="22"/>
    <x v="11"/>
    <x v="4"/>
    <x v="8"/>
    <x v="4"/>
  </r>
  <r>
    <x v="0"/>
    <x v="2"/>
    <x v="40"/>
    <x v="57"/>
    <x v="109"/>
    <x v="52"/>
    <x v="8"/>
    <x v="0"/>
    <x v="3"/>
    <x v="8"/>
    <x v="13"/>
    <x v="15"/>
    <x v="15"/>
    <x v="22"/>
    <x v="11"/>
    <x v="4"/>
    <x v="8"/>
    <x v="4"/>
  </r>
  <r>
    <x v="0"/>
    <x v="2"/>
    <x v="40"/>
    <x v="57"/>
    <x v="29"/>
    <x v="53"/>
    <x v="8"/>
    <x v="0"/>
    <x v="3"/>
    <x v="8"/>
    <x v="13"/>
    <x v="15"/>
    <x v="15"/>
    <x v="22"/>
    <x v="11"/>
    <x v="4"/>
    <x v="8"/>
    <x v="4"/>
  </r>
  <r>
    <x v="0"/>
    <x v="2"/>
    <x v="40"/>
    <x v="57"/>
    <x v="32"/>
    <x v="53"/>
    <x v="8"/>
    <x v="0"/>
    <x v="3"/>
    <x v="8"/>
    <x v="13"/>
    <x v="15"/>
    <x v="15"/>
    <x v="22"/>
    <x v="11"/>
    <x v="4"/>
    <x v="8"/>
    <x v="4"/>
  </r>
  <r>
    <x v="0"/>
    <x v="2"/>
    <x v="41"/>
    <x v="57"/>
    <x v="189"/>
    <x v="40"/>
    <x v="4"/>
    <x v="0"/>
    <x v="3"/>
    <x v="8"/>
    <x v="13"/>
    <x v="15"/>
    <x v="15"/>
    <x v="22"/>
    <x v="11"/>
    <x v="4"/>
    <x v="8"/>
    <x v="4"/>
  </r>
  <r>
    <x v="0"/>
    <x v="2"/>
    <x v="41"/>
    <x v="57"/>
    <x v="188"/>
    <x v="49"/>
    <x v="4"/>
    <x v="0"/>
    <x v="3"/>
    <x v="8"/>
    <x v="13"/>
    <x v="15"/>
    <x v="15"/>
    <x v="22"/>
    <x v="11"/>
    <x v="4"/>
    <x v="8"/>
    <x v="4"/>
  </r>
  <r>
    <x v="0"/>
    <x v="2"/>
    <x v="41"/>
    <x v="57"/>
    <x v="109"/>
    <x v="52"/>
    <x v="8"/>
    <x v="0"/>
    <x v="3"/>
    <x v="8"/>
    <x v="13"/>
    <x v="15"/>
    <x v="15"/>
    <x v="22"/>
    <x v="11"/>
    <x v="4"/>
    <x v="8"/>
    <x v="4"/>
  </r>
  <r>
    <x v="0"/>
    <x v="2"/>
    <x v="42"/>
    <x v="57"/>
    <x v="41"/>
    <x v="38"/>
    <x v="4"/>
    <x v="0"/>
    <x v="3"/>
    <x v="8"/>
    <x v="13"/>
    <x v="15"/>
    <x v="15"/>
    <x v="22"/>
    <x v="11"/>
    <x v="4"/>
    <x v="8"/>
    <x v="4"/>
  </r>
  <r>
    <x v="0"/>
    <x v="2"/>
    <x v="43"/>
    <x v="58"/>
    <x v="56"/>
    <x v="43"/>
    <x v="4"/>
    <x v="0"/>
    <x v="1"/>
    <x v="4"/>
    <x v="12"/>
    <x v="14"/>
    <x v="15"/>
    <x v="22"/>
    <x v="23"/>
    <x v="47"/>
    <x v="11"/>
    <x v="6"/>
  </r>
  <r>
    <x v="0"/>
    <x v="2"/>
    <x v="43"/>
    <x v="58"/>
    <x v="184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82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50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49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48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23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22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21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10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90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77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0"/>
    <x v="44"/>
    <x v="4"/>
    <x v="0"/>
    <x v="3"/>
    <x v="8"/>
    <x v="13"/>
    <x v="15"/>
    <x v="15"/>
    <x v="22"/>
    <x v="23"/>
    <x v="47"/>
    <x v="11"/>
    <x v="6"/>
  </r>
  <r>
    <x v="0"/>
    <x v="2"/>
    <x v="43"/>
    <x v="58"/>
    <x v="184"/>
    <x v="42"/>
    <x v="4"/>
    <x v="0"/>
    <x v="3"/>
    <x v="8"/>
    <x v="13"/>
    <x v="15"/>
    <x v="15"/>
    <x v="22"/>
    <x v="23"/>
    <x v="47"/>
    <x v="11"/>
    <x v="6"/>
  </r>
  <r>
    <x v="0"/>
    <x v="2"/>
    <x v="43"/>
    <x v="58"/>
    <x v="184"/>
    <x v="42"/>
    <x v="4"/>
    <x v="0"/>
    <x v="3"/>
    <x v="8"/>
    <x v="13"/>
    <x v="15"/>
    <x v="15"/>
    <x v="22"/>
    <x v="23"/>
    <x v="47"/>
    <x v="11"/>
    <x v="6"/>
  </r>
  <r>
    <x v="0"/>
    <x v="2"/>
    <x v="43"/>
    <x v="58"/>
    <x v="184"/>
    <x v="42"/>
    <x v="4"/>
    <x v="0"/>
    <x v="1"/>
    <x v="4"/>
    <x v="12"/>
    <x v="14"/>
    <x v="15"/>
    <x v="22"/>
    <x v="23"/>
    <x v="47"/>
    <x v="11"/>
    <x v="6"/>
  </r>
  <r>
    <x v="0"/>
    <x v="2"/>
    <x v="44"/>
    <x v="51"/>
    <x v="143"/>
    <x v="41"/>
    <x v="4"/>
    <x v="0"/>
    <x v="3"/>
    <x v="8"/>
    <x v="13"/>
    <x v="15"/>
    <x v="15"/>
    <x v="22"/>
    <x v="11"/>
    <x v="4"/>
    <x v="8"/>
    <x v="4"/>
  </r>
  <r>
    <x v="0"/>
    <x v="2"/>
    <x v="44"/>
    <x v="51"/>
    <x v="25"/>
    <x v="47"/>
    <x v="4"/>
    <x v="0"/>
    <x v="3"/>
    <x v="8"/>
    <x v="13"/>
    <x v="15"/>
    <x v="15"/>
    <x v="22"/>
    <x v="11"/>
    <x v="4"/>
    <x v="8"/>
    <x v="4"/>
  </r>
  <r>
    <x v="0"/>
    <x v="2"/>
    <x v="44"/>
    <x v="51"/>
    <x v="109"/>
    <x v="55"/>
    <x v="8"/>
    <x v="0"/>
    <x v="3"/>
    <x v="8"/>
    <x v="13"/>
    <x v="15"/>
    <x v="15"/>
    <x v="22"/>
    <x v="11"/>
    <x v="4"/>
    <x v="8"/>
    <x v="4"/>
  </r>
  <r>
    <x v="0"/>
    <x v="2"/>
    <x v="44"/>
    <x v="51"/>
    <x v="140"/>
    <x v="59"/>
    <x v="8"/>
    <x v="0"/>
    <x v="3"/>
    <x v="8"/>
    <x v="13"/>
    <x v="15"/>
    <x v="15"/>
    <x v="22"/>
    <x v="11"/>
    <x v="4"/>
    <x v="8"/>
    <x v="4"/>
  </r>
  <r>
    <x v="0"/>
    <x v="2"/>
    <x v="45"/>
    <x v="58"/>
    <x v="151"/>
    <x v="45"/>
    <x v="4"/>
    <x v="0"/>
    <x v="3"/>
    <x v="8"/>
    <x v="13"/>
    <x v="15"/>
    <x v="15"/>
    <x v="22"/>
    <x v="11"/>
    <x v="4"/>
    <x v="8"/>
    <x v="4"/>
  </r>
  <r>
    <x v="0"/>
    <x v="2"/>
    <x v="46"/>
    <x v="58"/>
    <x v="46"/>
    <x v="37"/>
    <x v="4"/>
    <x v="0"/>
    <x v="3"/>
    <x v="8"/>
    <x v="13"/>
    <x v="15"/>
    <x v="15"/>
    <x v="22"/>
    <x v="11"/>
    <x v="4"/>
    <x v="8"/>
    <x v="4"/>
  </r>
  <r>
    <x v="0"/>
    <x v="2"/>
    <x v="46"/>
    <x v="58"/>
    <x v="47"/>
    <x v="37"/>
    <x v="4"/>
    <x v="0"/>
    <x v="3"/>
    <x v="8"/>
    <x v="13"/>
    <x v="15"/>
    <x v="15"/>
    <x v="22"/>
    <x v="11"/>
    <x v="4"/>
    <x v="8"/>
    <x v="4"/>
  </r>
  <r>
    <x v="0"/>
    <x v="2"/>
    <x v="47"/>
    <x v="59"/>
    <x v="132"/>
    <x v="43"/>
    <x v="4"/>
    <x v="0"/>
    <x v="3"/>
    <x v="8"/>
    <x v="13"/>
    <x v="15"/>
    <x v="15"/>
    <x v="22"/>
    <x v="23"/>
    <x v="47"/>
    <x v="11"/>
    <x v="6"/>
  </r>
  <r>
    <x v="0"/>
    <x v="2"/>
    <x v="47"/>
    <x v="59"/>
    <x v="127"/>
    <x v="43"/>
    <x v="4"/>
    <x v="0"/>
    <x v="1"/>
    <x v="4"/>
    <x v="12"/>
    <x v="14"/>
    <x v="15"/>
    <x v="22"/>
    <x v="23"/>
    <x v="47"/>
    <x v="11"/>
    <x v="6"/>
  </r>
  <r>
    <x v="0"/>
    <x v="2"/>
    <x v="47"/>
    <x v="59"/>
    <x v="126"/>
    <x v="43"/>
    <x v="4"/>
    <x v="0"/>
    <x v="3"/>
    <x v="8"/>
    <x v="13"/>
    <x v="15"/>
    <x v="15"/>
    <x v="22"/>
    <x v="23"/>
    <x v="47"/>
    <x v="11"/>
    <x v="6"/>
  </r>
  <r>
    <x v="0"/>
    <x v="2"/>
    <x v="47"/>
    <x v="59"/>
    <x v="125"/>
    <x v="43"/>
    <x v="4"/>
    <x v="0"/>
    <x v="3"/>
    <x v="8"/>
    <x v="13"/>
    <x v="15"/>
    <x v="15"/>
    <x v="22"/>
    <x v="23"/>
    <x v="47"/>
    <x v="11"/>
    <x v="6"/>
  </r>
  <r>
    <x v="0"/>
    <x v="2"/>
    <x v="47"/>
    <x v="59"/>
    <x v="147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46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31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30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29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28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24"/>
    <x v="44"/>
    <x v="4"/>
    <x v="0"/>
    <x v="3"/>
    <x v="8"/>
    <x v="13"/>
    <x v="15"/>
    <x v="15"/>
    <x v="22"/>
    <x v="23"/>
    <x v="47"/>
    <x v="11"/>
    <x v="6"/>
  </r>
  <r>
    <x v="0"/>
    <x v="2"/>
    <x v="47"/>
    <x v="59"/>
    <x v="184"/>
    <x v="42"/>
    <x v="4"/>
    <x v="0"/>
    <x v="3"/>
    <x v="8"/>
    <x v="13"/>
    <x v="15"/>
    <x v="15"/>
    <x v="22"/>
    <x v="23"/>
    <x v="47"/>
    <x v="11"/>
    <x v="6"/>
  </r>
  <r>
    <x v="0"/>
    <x v="2"/>
    <x v="47"/>
    <x v="59"/>
    <x v="184"/>
    <x v="42"/>
    <x v="4"/>
    <x v="0"/>
    <x v="3"/>
    <x v="8"/>
    <x v="13"/>
    <x v="15"/>
    <x v="15"/>
    <x v="22"/>
    <x v="23"/>
    <x v="47"/>
    <x v="11"/>
    <x v="6"/>
  </r>
  <r>
    <x v="0"/>
    <x v="2"/>
    <x v="47"/>
    <x v="59"/>
    <x v="184"/>
    <x v="42"/>
    <x v="4"/>
    <x v="0"/>
    <x v="3"/>
    <x v="8"/>
    <x v="13"/>
    <x v="15"/>
    <x v="15"/>
    <x v="22"/>
    <x v="23"/>
    <x v="47"/>
    <x v="11"/>
    <x v="6"/>
  </r>
  <r>
    <x v="0"/>
    <x v="2"/>
    <x v="47"/>
    <x v="59"/>
    <x v="184"/>
    <x v="42"/>
    <x v="4"/>
    <x v="0"/>
    <x v="1"/>
    <x v="4"/>
    <x v="12"/>
    <x v="14"/>
    <x v="15"/>
    <x v="22"/>
    <x v="23"/>
    <x v="47"/>
    <x v="11"/>
    <x v="6"/>
  </r>
  <r>
    <x v="0"/>
    <x v="2"/>
    <x v="48"/>
    <x v="59"/>
    <x v="151"/>
    <x v="45"/>
    <x v="4"/>
    <x v="0"/>
    <x v="3"/>
    <x v="8"/>
    <x v="13"/>
    <x v="15"/>
    <x v="15"/>
    <x v="22"/>
    <x v="11"/>
    <x v="4"/>
    <x v="8"/>
    <x v="4"/>
  </r>
  <r>
    <x v="0"/>
    <x v="2"/>
    <x v="49"/>
    <x v="59"/>
    <x v="46"/>
    <x v="37"/>
    <x v="4"/>
    <x v="0"/>
    <x v="3"/>
    <x v="8"/>
    <x v="13"/>
    <x v="15"/>
    <x v="15"/>
    <x v="22"/>
    <x v="11"/>
    <x v="4"/>
    <x v="8"/>
    <x v="4"/>
  </r>
  <r>
    <x v="0"/>
    <x v="2"/>
    <x v="49"/>
    <x v="59"/>
    <x v="47"/>
    <x v="37"/>
    <x v="4"/>
    <x v="0"/>
    <x v="3"/>
    <x v="8"/>
    <x v="13"/>
    <x v="15"/>
    <x v="15"/>
    <x v="22"/>
    <x v="11"/>
    <x v="4"/>
    <x v="8"/>
    <x v="4"/>
  </r>
  <r>
    <x v="0"/>
    <x v="2"/>
    <x v="50"/>
    <x v="63"/>
    <x v="151"/>
    <x v="45"/>
    <x v="4"/>
    <x v="0"/>
    <x v="3"/>
    <x v="8"/>
    <x v="13"/>
    <x v="15"/>
    <x v="15"/>
    <x v="22"/>
    <x v="19"/>
    <x v="41"/>
    <x v="11"/>
    <x v="6"/>
  </r>
  <r>
    <x v="0"/>
    <x v="2"/>
    <x v="51"/>
    <x v="63"/>
    <x v="89"/>
    <x v="28"/>
    <x v="1"/>
    <x v="0"/>
    <x v="3"/>
    <x v="8"/>
    <x v="13"/>
    <x v="15"/>
    <x v="15"/>
    <x v="22"/>
    <x v="19"/>
    <x v="28"/>
    <x v="11"/>
    <x v="6"/>
  </r>
  <r>
    <x v="0"/>
    <x v="2"/>
    <x v="52"/>
    <x v="63"/>
    <x v="139"/>
    <x v="41"/>
    <x v="4"/>
    <x v="0"/>
    <x v="3"/>
    <x v="8"/>
    <x v="13"/>
    <x v="15"/>
    <x v="15"/>
    <x v="22"/>
    <x v="19"/>
    <x v="3"/>
    <x v="11"/>
    <x v="6"/>
  </r>
  <r>
    <x v="0"/>
    <x v="2"/>
    <x v="52"/>
    <x v="63"/>
    <x v="142"/>
    <x v="47"/>
    <x v="4"/>
    <x v="0"/>
    <x v="3"/>
    <x v="8"/>
    <x v="13"/>
    <x v="15"/>
    <x v="15"/>
    <x v="22"/>
    <x v="19"/>
    <x v="3"/>
    <x v="11"/>
    <x v="6"/>
  </r>
  <r>
    <x v="0"/>
    <x v="2"/>
    <x v="52"/>
    <x v="63"/>
    <x v="49"/>
    <x v="56"/>
    <x v="8"/>
    <x v="0"/>
    <x v="3"/>
    <x v="8"/>
    <x v="13"/>
    <x v="15"/>
    <x v="15"/>
    <x v="22"/>
    <x v="19"/>
    <x v="3"/>
    <x v="11"/>
    <x v="6"/>
  </r>
  <r>
    <x v="0"/>
    <x v="2"/>
    <x v="53"/>
    <x v="19"/>
    <x v="204"/>
    <x v="34"/>
    <x v="3"/>
    <x v="0"/>
    <x v="0"/>
    <x v="5"/>
    <x v="13"/>
    <x v="15"/>
    <x v="15"/>
    <x v="22"/>
    <x v="23"/>
    <x v="47"/>
    <x v="11"/>
    <x v="6"/>
  </r>
  <r>
    <x v="0"/>
    <x v="2"/>
    <x v="53"/>
    <x v="19"/>
    <x v="204"/>
    <x v="34"/>
    <x v="3"/>
    <x v="0"/>
    <x v="3"/>
    <x v="8"/>
    <x v="13"/>
    <x v="15"/>
    <x v="15"/>
    <x v="22"/>
    <x v="10"/>
    <x v="22"/>
    <x v="11"/>
    <x v="6"/>
  </r>
  <r>
    <x v="0"/>
    <x v="2"/>
    <x v="53"/>
    <x v="19"/>
    <x v="181"/>
    <x v="35"/>
    <x v="3"/>
    <x v="0"/>
    <x v="3"/>
    <x v="8"/>
    <x v="13"/>
    <x v="15"/>
    <x v="15"/>
    <x v="22"/>
    <x v="10"/>
    <x v="22"/>
    <x v="11"/>
    <x v="6"/>
  </r>
  <r>
    <x v="0"/>
    <x v="2"/>
    <x v="54"/>
    <x v="19"/>
    <x v="106"/>
    <x v="4"/>
    <x v="0"/>
    <x v="0"/>
    <x v="3"/>
    <x v="1"/>
    <x v="4"/>
    <x v="6"/>
    <x v="10"/>
    <x v="1"/>
    <x v="10"/>
    <x v="37"/>
    <x v="11"/>
    <x v="5"/>
  </r>
  <r>
    <x v="0"/>
    <x v="2"/>
    <x v="54"/>
    <x v="19"/>
    <x v="180"/>
    <x v="4"/>
    <x v="0"/>
    <x v="0"/>
    <x v="3"/>
    <x v="1"/>
    <x v="4"/>
    <x v="6"/>
    <x v="10"/>
    <x v="1"/>
    <x v="10"/>
    <x v="37"/>
    <x v="11"/>
    <x v="5"/>
  </r>
  <r>
    <x v="0"/>
    <x v="2"/>
    <x v="55"/>
    <x v="51"/>
    <x v="43"/>
    <x v="38"/>
    <x v="4"/>
    <x v="0"/>
    <x v="3"/>
    <x v="8"/>
    <x v="13"/>
    <x v="15"/>
    <x v="15"/>
    <x v="22"/>
    <x v="11"/>
    <x v="4"/>
    <x v="8"/>
    <x v="4"/>
  </r>
  <r>
    <x v="0"/>
    <x v="2"/>
    <x v="56"/>
    <x v="81"/>
    <x v="8"/>
    <x v="21"/>
    <x v="1"/>
    <x v="0"/>
    <x v="3"/>
    <x v="8"/>
    <x v="13"/>
    <x v="15"/>
    <x v="15"/>
    <x v="22"/>
    <x v="13"/>
    <x v="25"/>
    <x v="7"/>
    <x v="6"/>
  </r>
  <r>
    <x v="0"/>
    <x v="2"/>
    <x v="57"/>
    <x v="81"/>
    <x v="8"/>
    <x v="21"/>
    <x v="1"/>
    <x v="0"/>
    <x v="3"/>
    <x v="8"/>
    <x v="13"/>
    <x v="15"/>
    <x v="15"/>
    <x v="22"/>
    <x v="13"/>
    <x v="25"/>
    <x v="7"/>
    <x v="6"/>
  </r>
  <r>
    <x v="0"/>
    <x v="2"/>
    <x v="58"/>
    <x v="81"/>
    <x v="8"/>
    <x v="21"/>
    <x v="1"/>
    <x v="0"/>
    <x v="3"/>
    <x v="8"/>
    <x v="13"/>
    <x v="15"/>
    <x v="15"/>
    <x v="22"/>
    <x v="13"/>
    <x v="25"/>
    <x v="7"/>
    <x v="6"/>
  </r>
  <r>
    <x v="0"/>
    <x v="2"/>
    <x v="61"/>
    <x v="35"/>
    <x v="138"/>
    <x v="42"/>
    <x v="4"/>
    <x v="0"/>
    <x v="3"/>
    <x v="8"/>
    <x v="13"/>
    <x v="15"/>
    <x v="15"/>
    <x v="22"/>
    <x v="11"/>
    <x v="4"/>
    <x v="8"/>
    <x v="4"/>
  </r>
  <r>
    <x v="0"/>
    <x v="2"/>
    <x v="61"/>
    <x v="35"/>
    <x v="137"/>
    <x v="42"/>
    <x v="4"/>
    <x v="0"/>
    <x v="3"/>
    <x v="8"/>
    <x v="13"/>
    <x v="15"/>
    <x v="15"/>
    <x v="22"/>
    <x v="11"/>
    <x v="4"/>
    <x v="8"/>
    <x v="4"/>
  </r>
  <r>
    <x v="0"/>
    <x v="2"/>
    <x v="61"/>
    <x v="35"/>
    <x v="151"/>
    <x v="45"/>
    <x v="4"/>
    <x v="0"/>
    <x v="3"/>
    <x v="8"/>
    <x v="13"/>
    <x v="15"/>
    <x v="15"/>
    <x v="22"/>
    <x v="11"/>
    <x v="4"/>
    <x v="8"/>
    <x v="4"/>
  </r>
  <r>
    <x v="0"/>
    <x v="2"/>
    <x v="62"/>
    <x v="35"/>
    <x v="143"/>
    <x v="40"/>
    <x v="4"/>
    <x v="0"/>
    <x v="3"/>
    <x v="8"/>
    <x v="13"/>
    <x v="15"/>
    <x v="15"/>
    <x v="22"/>
    <x v="11"/>
    <x v="4"/>
    <x v="8"/>
    <x v="4"/>
  </r>
  <r>
    <x v="0"/>
    <x v="2"/>
    <x v="62"/>
    <x v="35"/>
    <x v="25"/>
    <x v="49"/>
    <x v="4"/>
    <x v="0"/>
    <x v="3"/>
    <x v="8"/>
    <x v="13"/>
    <x v="15"/>
    <x v="15"/>
    <x v="22"/>
    <x v="11"/>
    <x v="4"/>
    <x v="8"/>
    <x v="4"/>
  </r>
  <r>
    <x v="0"/>
    <x v="2"/>
    <x v="62"/>
    <x v="35"/>
    <x v="108"/>
    <x v="55"/>
    <x v="4"/>
    <x v="0"/>
    <x v="3"/>
    <x v="8"/>
    <x v="13"/>
    <x v="15"/>
    <x v="15"/>
    <x v="22"/>
    <x v="11"/>
    <x v="4"/>
    <x v="8"/>
    <x v="4"/>
  </r>
  <r>
    <x v="0"/>
    <x v="1"/>
    <x v="0"/>
    <x v="45"/>
    <x v="62"/>
    <x v="41"/>
    <x v="4"/>
    <x v="0"/>
    <x v="3"/>
    <x v="8"/>
    <x v="13"/>
    <x v="15"/>
    <x v="15"/>
    <x v="22"/>
    <x v="11"/>
    <x v="4"/>
    <x v="8"/>
    <x v="4"/>
  </r>
  <r>
    <x v="0"/>
    <x v="1"/>
    <x v="0"/>
    <x v="45"/>
    <x v="95"/>
    <x v="40"/>
    <x v="4"/>
    <x v="0"/>
    <x v="3"/>
    <x v="8"/>
    <x v="13"/>
    <x v="15"/>
    <x v="15"/>
    <x v="22"/>
    <x v="11"/>
    <x v="4"/>
    <x v="8"/>
    <x v="4"/>
  </r>
  <r>
    <x v="0"/>
    <x v="1"/>
    <x v="0"/>
    <x v="45"/>
    <x v="151"/>
    <x v="45"/>
    <x v="4"/>
    <x v="0"/>
    <x v="3"/>
    <x v="8"/>
    <x v="13"/>
    <x v="15"/>
    <x v="15"/>
    <x v="22"/>
    <x v="11"/>
    <x v="4"/>
    <x v="8"/>
    <x v="4"/>
  </r>
  <r>
    <x v="0"/>
    <x v="1"/>
    <x v="0"/>
    <x v="45"/>
    <x v="94"/>
    <x v="49"/>
    <x v="4"/>
    <x v="0"/>
    <x v="3"/>
    <x v="8"/>
    <x v="13"/>
    <x v="15"/>
    <x v="15"/>
    <x v="22"/>
    <x v="11"/>
    <x v="4"/>
    <x v="8"/>
    <x v="4"/>
  </r>
  <r>
    <x v="0"/>
    <x v="1"/>
    <x v="0"/>
    <x v="45"/>
    <x v="61"/>
    <x v="47"/>
    <x v="4"/>
    <x v="0"/>
    <x v="3"/>
    <x v="8"/>
    <x v="13"/>
    <x v="15"/>
    <x v="15"/>
    <x v="22"/>
    <x v="11"/>
    <x v="4"/>
    <x v="8"/>
    <x v="4"/>
  </r>
  <r>
    <x v="0"/>
    <x v="1"/>
    <x v="0"/>
    <x v="45"/>
    <x v="119"/>
    <x v="53"/>
    <x v="8"/>
    <x v="0"/>
    <x v="3"/>
    <x v="8"/>
    <x v="13"/>
    <x v="15"/>
    <x v="15"/>
    <x v="22"/>
    <x v="11"/>
    <x v="4"/>
    <x v="8"/>
    <x v="4"/>
  </r>
  <r>
    <x v="0"/>
    <x v="1"/>
    <x v="1"/>
    <x v="54"/>
    <x v="41"/>
    <x v="38"/>
    <x v="4"/>
    <x v="0"/>
    <x v="3"/>
    <x v="8"/>
    <x v="13"/>
    <x v="15"/>
    <x v="15"/>
    <x v="22"/>
    <x v="11"/>
    <x v="4"/>
    <x v="8"/>
    <x v="4"/>
  </r>
  <r>
    <x v="0"/>
    <x v="1"/>
    <x v="2"/>
    <x v="19"/>
    <x v="204"/>
    <x v="34"/>
    <x v="3"/>
    <x v="0"/>
    <x v="3"/>
    <x v="8"/>
    <x v="13"/>
    <x v="15"/>
    <x v="15"/>
    <x v="22"/>
    <x v="10"/>
    <x v="22"/>
    <x v="11"/>
    <x v="6"/>
  </r>
  <r>
    <x v="0"/>
    <x v="1"/>
    <x v="2"/>
    <x v="19"/>
    <x v="204"/>
    <x v="34"/>
    <x v="3"/>
    <x v="0"/>
    <x v="0"/>
    <x v="5"/>
    <x v="13"/>
    <x v="15"/>
    <x v="15"/>
    <x v="22"/>
    <x v="10"/>
    <x v="22"/>
    <x v="11"/>
    <x v="6"/>
  </r>
  <r>
    <x v="0"/>
    <x v="1"/>
    <x v="2"/>
    <x v="19"/>
    <x v="181"/>
    <x v="35"/>
    <x v="3"/>
    <x v="0"/>
    <x v="3"/>
    <x v="8"/>
    <x v="13"/>
    <x v="15"/>
    <x v="15"/>
    <x v="22"/>
    <x v="10"/>
    <x v="22"/>
    <x v="11"/>
    <x v="6"/>
  </r>
  <r>
    <x v="0"/>
    <x v="1"/>
    <x v="3"/>
    <x v="19"/>
    <x v="106"/>
    <x v="4"/>
    <x v="0"/>
    <x v="0"/>
    <x v="3"/>
    <x v="1"/>
    <x v="4"/>
    <x v="6"/>
    <x v="10"/>
    <x v="1"/>
    <x v="10"/>
    <x v="37"/>
    <x v="11"/>
    <x v="5"/>
  </r>
  <r>
    <x v="0"/>
    <x v="1"/>
    <x v="3"/>
    <x v="19"/>
    <x v="180"/>
    <x v="4"/>
    <x v="0"/>
    <x v="0"/>
    <x v="3"/>
    <x v="1"/>
    <x v="4"/>
    <x v="6"/>
    <x v="10"/>
    <x v="1"/>
    <x v="10"/>
    <x v="37"/>
    <x v="11"/>
    <x v="5"/>
  </r>
  <r>
    <x v="0"/>
    <x v="1"/>
    <x v="4"/>
    <x v="19"/>
    <x v="204"/>
    <x v="34"/>
    <x v="3"/>
    <x v="0"/>
    <x v="3"/>
    <x v="8"/>
    <x v="13"/>
    <x v="15"/>
    <x v="15"/>
    <x v="22"/>
    <x v="10"/>
    <x v="22"/>
    <x v="11"/>
    <x v="6"/>
  </r>
  <r>
    <x v="0"/>
    <x v="1"/>
    <x v="4"/>
    <x v="19"/>
    <x v="204"/>
    <x v="34"/>
    <x v="3"/>
    <x v="0"/>
    <x v="0"/>
    <x v="5"/>
    <x v="13"/>
    <x v="15"/>
    <x v="15"/>
    <x v="22"/>
    <x v="23"/>
    <x v="47"/>
    <x v="11"/>
    <x v="6"/>
  </r>
  <r>
    <x v="0"/>
    <x v="1"/>
    <x v="4"/>
    <x v="19"/>
    <x v="181"/>
    <x v="35"/>
    <x v="3"/>
    <x v="0"/>
    <x v="3"/>
    <x v="8"/>
    <x v="13"/>
    <x v="15"/>
    <x v="15"/>
    <x v="22"/>
    <x v="10"/>
    <x v="22"/>
    <x v="11"/>
    <x v="6"/>
  </r>
  <r>
    <x v="0"/>
    <x v="1"/>
    <x v="5"/>
    <x v="19"/>
    <x v="106"/>
    <x v="4"/>
    <x v="0"/>
    <x v="0"/>
    <x v="3"/>
    <x v="1"/>
    <x v="4"/>
    <x v="6"/>
    <x v="10"/>
    <x v="1"/>
    <x v="10"/>
    <x v="37"/>
    <x v="11"/>
    <x v="5"/>
  </r>
  <r>
    <x v="0"/>
    <x v="1"/>
    <x v="5"/>
    <x v="19"/>
    <x v="180"/>
    <x v="4"/>
    <x v="0"/>
    <x v="0"/>
    <x v="3"/>
    <x v="1"/>
    <x v="4"/>
    <x v="6"/>
    <x v="10"/>
    <x v="1"/>
    <x v="10"/>
    <x v="37"/>
    <x v="11"/>
    <x v="5"/>
  </r>
  <r>
    <x v="0"/>
    <x v="1"/>
    <x v="6"/>
    <x v="62"/>
    <x v="135"/>
    <x v="43"/>
    <x v="4"/>
    <x v="0"/>
    <x v="3"/>
    <x v="8"/>
    <x v="13"/>
    <x v="15"/>
    <x v="15"/>
    <x v="22"/>
    <x v="23"/>
    <x v="47"/>
    <x v="11"/>
    <x v="6"/>
  </r>
  <r>
    <x v="0"/>
    <x v="1"/>
    <x v="6"/>
    <x v="62"/>
    <x v="134"/>
    <x v="43"/>
    <x v="4"/>
    <x v="0"/>
    <x v="3"/>
    <x v="8"/>
    <x v="13"/>
    <x v="15"/>
    <x v="15"/>
    <x v="22"/>
    <x v="23"/>
    <x v="47"/>
    <x v="11"/>
    <x v="6"/>
  </r>
  <r>
    <x v="0"/>
    <x v="1"/>
    <x v="6"/>
    <x v="62"/>
    <x v="133"/>
    <x v="43"/>
    <x v="4"/>
    <x v="0"/>
    <x v="3"/>
    <x v="8"/>
    <x v="13"/>
    <x v="15"/>
    <x v="15"/>
    <x v="22"/>
    <x v="23"/>
    <x v="47"/>
    <x v="11"/>
    <x v="6"/>
  </r>
  <r>
    <x v="0"/>
    <x v="1"/>
    <x v="6"/>
    <x v="62"/>
    <x v="132"/>
    <x v="43"/>
    <x v="4"/>
    <x v="0"/>
    <x v="2"/>
    <x v="6"/>
    <x v="11"/>
    <x v="15"/>
    <x v="15"/>
    <x v="22"/>
    <x v="23"/>
    <x v="47"/>
    <x v="11"/>
    <x v="6"/>
  </r>
  <r>
    <x v="0"/>
    <x v="1"/>
    <x v="6"/>
    <x v="62"/>
    <x v="147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46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31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29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29"/>
    <x v="44"/>
    <x v="4"/>
    <x v="0"/>
    <x v="2"/>
    <x v="6"/>
    <x v="11"/>
    <x v="15"/>
    <x v="15"/>
    <x v="22"/>
    <x v="23"/>
    <x v="47"/>
    <x v="11"/>
    <x v="6"/>
  </r>
  <r>
    <x v="0"/>
    <x v="1"/>
    <x v="6"/>
    <x v="62"/>
    <x v="128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24"/>
    <x v="44"/>
    <x v="4"/>
    <x v="0"/>
    <x v="3"/>
    <x v="8"/>
    <x v="13"/>
    <x v="15"/>
    <x v="15"/>
    <x v="22"/>
    <x v="23"/>
    <x v="47"/>
    <x v="11"/>
    <x v="6"/>
  </r>
  <r>
    <x v="0"/>
    <x v="1"/>
    <x v="6"/>
    <x v="62"/>
    <x v="184"/>
    <x v="42"/>
    <x v="4"/>
    <x v="0"/>
    <x v="3"/>
    <x v="8"/>
    <x v="13"/>
    <x v="15"/>
    <x v="15"/>
    <x v="22"/>
    <x v="23"/>
    <x v="47"/>
    <x v="11"/>
    <x v="6"/>
  </r>
  <r>
    <x v="0"/>
    <x v="1"/>
    <x v="6"/>
    <x v="62"/>
    <x v="184"/>
    <x v="42"/>
    <x v="4"/>
    <x v="0"/>
    <x v="3"/>
    <x v="8"/>
    <x v="13"/>
    <x v="15"/>
    <x v="15"/>
    <x v="22"/>
    <x v="23"/>
    <x v="47"/>
    <x v="11"/>
    <x v="6"/>
  </r>
  <r>
    <x v="0"/>
    <x v="1"/>
    <x v="6"/>
    <x v="62"/>
    <x v="184"/>
    <x v="42"/>
    <x v="4"/>
    <x v="0"/>
    <x v="3"/>
    <x v="8"/>
    <x v="13"/>
    <x v="15"/>
    <x v="15"/>
    <x v="22"/>
    <x v="23"/>
    <x v="47"/>
    <x v="11"/>
    <x v="6"/>
  </r>
  <r>
    <x v="0"/>
    <x v="1"/>
    <x v="6"/>
    <x v="62"/>
    <x v="184"/>
    <x v="42"/>
    <x v="4"/>
    <x v="0"/>
    <x v="2"/>
    <x v="6"/>
    <x v="11"/>
    <x v="15"/>
    <x v="15"/>
    <x v="22"/>
    <x v="23"/>
    <x v="47"/>
    <x v="11"/>
    <x v="6"/>
  </r>
  <r>
    <x v="0"/>
    <x v="1"/>
    <x v="6"/>
    <x v="62"/>
    <x v="151"/>
    <x v="45"/>
    <x v="4"/>
    <x v="0"/>
    <x v="3"/>
    <x v="8"/>
    <x v="13"/>
    <x v="15"/>
    <x v="15"/>
    <x v="22"/>
    <x v="16"/>
    <x v="35"/>
    <x v="4"/>
    <x v="6"/>
  </r>
  <r>
    <x v="0"/>
    <x v="1"/>
    <x v="7"/>
    <x v="62"/>
    <x v="46"/>
    <x v="37"/>
    <x v="4"/>
    <x v="0"/>
    <x v="3"/>
    <x v="8"/>
    <x v="13"/>
    <x v="15"/>
    <x v="15"/>
    <x v="22"/>
    <x v="9"/>
    <x v="36"/>
    <x v="0"/>
    <x v="6"/>
  </r>
  <r>
    <x v="0"/>
    <x v="1"/>
    <x v="7"/>
    <x v="62"/>
    <x v="47"/>
    <x v="37"/>
    <x v="4"/>
    <x v="0"/>
    <x v="3"/>
    <x v="8"/>
    <x v="13"/>
    <x v="15"/>
    <x v="15"/>
    <x v="22"/>
    <x v="9"/>
    <x v="36"/>
    <x v="0"/>
    <x v="6"/>
  </r>
  <r>
    <x v="0"/>
    <x v="1"/>
    <x v="8"/>
    <x v="61"/>
    <x v="192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45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5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4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3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2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1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00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99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98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97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96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74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52"/>
    <x v="44"/>
    <x v="4"/>
    <x v="0"/>
    <x v="3"/>
    <x v="8"/>
    <x v="13"/>
    <x v="15"/>
    <x v="15"/>
    <x v="22"/>
    <x v="23"/>
    <x v="47"/>
    <x v="11"/>
    <x v="6"/>
  </r>
  <r>
    <x v="0"/>
    <x v="1"/>
    <x v="8"/>
    <x v="61"/>
    <x v="184"/>
    <x v="42"/>
    <x v="4"/>
    <x v="0"/>
    <x v="2"/>
    <x v="6"/>
    <x v="11"/>
    <x v="15"/>
    <x v="15"/>
    <x v="22"/>
    <x v="23"/>
    <x v="47"/>
    <x v="11"/>
    <x v="6"/>
  </r>
  <r>
    <x v="0"/>
    <x v="1"/>
    <x v="8"/>
    <x v="61"/>
    <x v="151"/>
    <x v="45"/>
    <x v="4"/>
    <x v="0"/>
    <x v="3"/>
    <x v="8"/>
    <x v="13"/>
    <x v="15"/>
    <x v="15"/>
    <x v="22"/>
    <x v="16"/>
    <x v="35"/>
    <x v="4"/>
    <x v="6"/>
  </r>
  <r>
    <x v="0"/>
    <x v="1"/>
    <x v="9"/>
    <x v="61"/>
    <x v="46"/>
    <x v="37"/>
    <x v="4"/>
    <x v="0"/>
    <x v="3"/>
    <x v="8"/>
    <x v="13"/>
    <x v="15"/>
    <x v="15"/>
    <x v="22"/>
    <x v="9"/>
    <x v="36"/>
    <x v="0"/>
    <x v="6"/>
  </r>
  <r>
    <x v="0"/>
    <x v="1"/>
    <x v="9"/>
    <x v="61"/>
    <x v="47"/>
    <x v="37"/>
    <x v="4"/>
    <x v="0"/>
    <x v="3"/>
    <x v="8"/>
    <x v="13"/>
    <x v="15"/>
    <x v="15"/>
    <x v="22"/>
    <x v="9"/>
    <x v="36"/>
    <x v="0"/>
    <x v="6"/>
  </r>
  <r>
    <x v="0"/>
    <x v="1"/>
    <x v="10"/>
    <x v="60"/>
    <x v="184"/>
    <x v="42"/>
    <x v="4"/>
    <x v="0"/>
    <x v="1"/>
    <x v="4"/>
    <x v="12"/>
    <x v="14"/>
    <x v="15"/>
    <x v="22"/>
    <x v="23"/>
    <x v="47"/>
    <x v="11"/>
    <x v="6"/>
  </r>
  <r>
    <x v="0"/>
    <x v="1"/>
    <x v="10"/>
    <x v="60"/>
    <x v="138"/>
    <x v="42"/>
    <x v="4"/>
    <x v="0"/>
    <x v="3"/>
    <x v="8"/>
    <x v="13"/>
    <x v="15"/>
    <x v="15"/>
    <x v="22"/>
    <x v="23"/>
    <x v="47"/>
    <x v="11"/>
    <x v="6"/>
  </r>
  <r>
    <x v="0"/>
    <x v="1"/>
    <x v="10"/>
    <x v="60"/>
    <x v="137"/>
    <x v="42"/>
    <x v="4"/>
    <x v="0"/>
    <x v="3"/>
    <x v="8"/>
    <x v="13"/>
    <x v="15"/>
    <x v="15"/>
    <x v="22"/>
    <x v="23"/>
    <x v="47"/>
    <x v="11"/>
    <x v="6"/>
  </r>
  <r>
    <x v="0"/>
    <x v="1"/>
    <x v="10"/>
    <x v="60"/>
    <x v="2"/>
    <x v="42"/>
    <x v="4"/>
    <x v="0"/>
    <x v="3"/>
    <x v="8"/>
    <x v="13"/>
    <x v="15"/>
    <x v="15"/>
    <x v="22"/>
    <x v="23"/>
    <x v="47"/>
    <x v="11"/>
    <x v="6"/>
  </r>
  <r>
    <x v="0"/>
    <x v="1"/>
    <x v="10"/>
    <x v="60"/>
    <x v="1"/>
    <x v="42"/>
    <x v="4"/>
    <x v="0"/>
    <x v="3"/>
    <x v="8"/>
    <x v="13"/>
    <x v="15"/>
    <x v="15"/>
    <x v="22"/>
    <x v="23"/>
    <x v="47"/>
    <x v="11"/>
    <x v="6"/>
  </r>
  <r>
    <x v="0"/>
    <x v="1"/>
    <x v="11"/>
    <x v="31"/>
    <x v="143"/>
    <x v="40"/>
    <x v="4"/>
    <x v="0"/>
    <x v="3"/>
    <x v="8"/>
    <x v="13"/>
    <x v="15"/>
    <x v="15"/>
    <x v="22"/>
    <x v="11"/>
    <x v="4"/>
    <x v="8"/>
    <x v="4"/>
  </r>
  <r>
    <x v="0"/>
    <x v="1"/>
    <x v="11"/>
    <x v="31"/>
    <x v="138"/>
    <x v="42"/>
    <x v="4"/>
    <x v="0"/>
    <x v="3"/>
    <x v="8"/>
    <x v="13"/>
    <x v="15"/>
    <x v="15"/>
    <x v="22"/>
    <x v="11"/>
    <x v="4"/>
    <x v="8"/>
    <x v="4"/>
  </r>
  <r>
    <x v="0"/>
    <x v="1"/>
    <x v="11"/>
    <x v="31"/>
    <x v="137"/>
    <x v="42"/>
    <x v="4"/>
    <x v="0"/>
    <x v="3"/>
    <x v="8"/>
    <x v="13"/>
    <x v="15"/>
    <x v="15"/>
    <x v="22"/>
    <x v="11"/>
    <x v="4"/>
    <x v="8"/>
    <x v="4"/>
  </r>
  <r>
    <x v="0"/>
    <x v="1"/>
    <x v="11"/>
    <x v="31"/>
    <x v="184"/>
    <x v="42"/>
    <x v="4"/>
    <x v="0"/>
    <x v="1"/>
    <x v="4"/>
    <x v="12"/>
    <x v="14"/>
    <x v="15"/>
    <x v="22"/>
    <x v="23"/>
    <x v="47"/>
    <x v="11"/>
    <x v="6"/>
  </r>
  <r>
    <x v="0"/>
    <x v="1"/>
    <x v="11"/>
    <x v="31"/>
    <x v="151"/>
    <x v="45"/>
    <x v="4"/>
    <x v="0"/>
    <x v="3"/>
    <x v="8"/>
    <x v="13"/>
    <x v="15"/>
    <x v="15"/>
    <x v="22"/>
    <x v="11"/>
    <x v="4"/>
    <x v="8"/>
    <x v="4"/>
  </r>
  <r>
    <x v="0"/>
    <x v="1"/>
    <x v="11"/>
    <x v="31"/>
    <x v="25"/>
    <x v="49"/>
    <x v="4"/>
    <x v="0"/>
    <x v="3"/>
    <x v="8"/>
    <x v="13"/>
    <x v="15"/>
    <x v="15"/>
    <x v="22"/>
    <x v="11"/>
    <x v="4"/>
    <x v="8"/>
    <x v="4"/>
  </r>
  <r>
    <x v="0"/>
    <x v="1"/>
    <x v="11"/>
    <x v="31"/>
    <x v="108"/>
    <x v="52"/>
    <x v="8"/>
    <x v="0"/>
    <x v="3"/>
    <x v="8"/>
    <x v="13"/>
    <x v="15"/>
    <x v="15"/>
    <x v="22"/>
    <x v="11"/>
    <x v="4"/>
    <x v="8"/>
    <x v="4"/>
  </r>
  <r>
    <x v="0"/>
    <x v="1"/>
    <x v="12"/>
    <x v="60"/>
    <x v="88"/>
    <x v="24"/>
    <x v="1"/>
    <x v="0"/>
    <x v="3"/>
    <x v="8"/>
    <x v="13"/>
    <x v="15"/>
    <x v="15"/>
    <x v="22"/>
    <x v="11"/>
    <x v="34"/>
    <x v="8"/>
    <x v="6"/>
  </r>
  <r>
    <x v="0"/>
    <x v="1"/>
    <x v="12"/>
    <x v="60"/>
    <x v="30"/>
    <x v="41"/>
    <x v="4"/>
    <x v="0"/>
    <x v="3"/>
    <x v="8"/>
    <x v="13"/>
    <x v="15"/>
    <x v="15"/>
    <x v="22"/>
    <x v="11"/>
    <x v="4"/>
    <x v="8"/>
    <x v="4"/>
  </r>
  <r>
    <x v="0"/>
    <x v="1"/>
    <x v="12"/>
    <x v="60"/>
    <x v="33"/>
    <x v="41"/>
    <x v="4"/>
    <x v="0"/>
    <x v="3"/>
    <x v="8"/>
    <x v="13"/>
    <x v="15"/>
    <x v="15"/>
    <x v="22"/>
    <x v="11"/>
    <x v="4"/>
    <x v="8"/>
    <x v="4"/>
  </r>
  <r>
    <x v="0"/>
    <x v="1"/>
    <x v="12"/>
    <x v="60"/>
    <x v="143"/>
    <x v="40"/>
    <x v="4"/>
    <x v="0"/>
    <x v="3"/>
    <x v="8"/>
    <x v="13"/>
    <x v="15"/>
    <x v="15"/>
    <x v="22"/>
    <x v="11"/>
    <x v="4"/>
    <x v="8"/>
    <x v="4"/>
  </r>
  <r>
    <x v="0"/>
    <x v="1"/>
    <x v="12"/>
    <x v="60"/>
    <x v="151"/>
    <x v="45"/>
    <x v="4"/>
    <x v="0"/>
    <x v="3"/>
    <x v="8"/>
    <x v="13"/>
    <x v="15"/>
    <x v="15"/>
    <x v="22"/>
    <x v="11"/>
    <x v="4"/>
    <x v="8"/>
    <x v="4"/>
  </r>
  <r>
    <x v="0"/>
    <x v="1"/>
    <x v="12"/>
    <x v="60"/>
    <x v="25"/>
    <x v="49"/>
    <x v="4"/>
    <x v="0"/>
    <x v="3"/>
    <x v="8"/>
    <x v="13"/>
    <x v="15"/>
    <x v="15"/>
    <x v="22"/>
    <x v="11"/>
    <x v="4"/>
    <x v="8"/>
    <x v="4"/>
  </r>
  <r>
    <x v="0"/>
    <x v="1"/>
    <x v="12"/>
    <x v="60"/>
    <x v="31"/>
    <x v="47"/>
    <x v="4"/>
    <x v="0"/>
    <x v="3"/>
    <x v="8"/>
    <x v="13"/>
    <x v="15"/>
    <x v="15"/>
    <x v="22"/>
    <x v="11"/>
    <x v="4"/>
    <x v="8"/>
    <x v="4"/>
  </r>
  <r>
    <x v="0"/>
    <x v="1"/>
    <x v="12"/>
    <x v="60"/>
    <x v="34"/>
    <x v="47"/>
    <x v="4"/>
    <x v="0"/>
    <x v="3"/>
    <x v="8"/>
    <x v="13"/>
    <x v="15"/>
    <x v="15"/>
    <x v="22"/>
    <x v="11"/>
    <x v="4"/>
    <x v="8"/>
    <x v="4"/>
  </r>
  <r>
    <x v="0"/>
    <x v="1"/>
    <x v="12"/>
    <x v="60"/>
    <x v="108"/>
    <x v="55"/>
    <x v="8"/>
    <x v="0"/>
    <x v="3"/>
    <x v="8"/>
    <x v="13"/>
    <x v="15"/>
    <x v="15"/>
    <x v="22"/>
    <x v="11"/>
    <x v="4"/>
    <x v="8"/>
    <x v="4"/>
  </r>
  <r>
    <x v="0"/>
    <x v="1"/>
    <x v="12"/>
    <x v="60"/>
    <x v="27"/>
    <x v="53"/>
    <x v="8"/>
    <x v="0"/>
    <x v="3"/>
    <x v="8"/>
    <x v="13"/>
    <x v="15"/>
    <x v="15"/>
    <x v="22"/>
    <x v="11"/>
    <x v="4"/>
    <x v="8"/>
    <x v="4"/>
  </r>
  <r>
    <x v="0"/>
    <x v="1"/>
    <x v="12"/>
    <x v="60"/>
    <x v="28"/>
    <x v="53"/>
    <x v="8"/>
    <x v="0"/>
    <x v="3"/>
    <x v="8"/>
    <x v="13"/>
    <x v="15"/>
    <x v="15"/>
    <x v="22"/>
    <x v="11"/>
    <x v="4"/>
    <x v="8"/>
    <x v="4"/>
  </r>
  <r>
    <x v="0"/>
    <x v="1"/>
    <x v="13"/>
    <x v="60"/>
    <x v="41"/>
    <x v="38"/>
    <x v="4"/>
    <x v="0"/>
    <x v="3"/>
    <x v="8"/>
    <x v="13"/>
    <x v="15"/>
    <x v="15"/>
    <x v="22"/>
    <x v="11"/>
    <x v="4"/>
    <x v="11"/>
    <x v="4"/>
  </r>
  <r>
    <x v="0"/>
    <x v="1"/>
    <x v="14"/>
    <x v="60"/>
    <x v="37"/>
    <x v="32"/>
    <x v="1"/>
    <x v="0"/>
    <x v="3"/>
    <x v="8"/>
    <x v="13"/>
    <x v="15"/>
    <x v="15"/>
    <x v="22"/>
    <x v="11"/>
    <x v="34"/>
    <x v="8"/>
    <x v="6"/>
  </r>
  <r>
    <x v="0"/>
    <x v="1"/>
    <x v="15"/>
    <x v="44"/>
    <x v="143"/>
    <x v="40"/>
    <x v="4"/>
    <x v="0"/>
    <x v="3"/>
    <x v="8"/>
    <x v="13"/>
    <x v="15"/>
    <x v="15"/>
    <x v="22"/>
    <x v="11"/>
    <x v="4"/>
    <x v="8"/>
    <x v="4"/>
  </r>
  <r>
    <x v="0"/>
    <x v="1"/>
    <x v="15"/>
    <x v="44"/>
    <x v="151"/>
    <x v="45"/>
    <x v="4"/>
    <x v="0"/>
    <x v="3"/>
    <x v="8"/>
    <x v="13"/>
    <x v="15"/>
    <x v="15"/>
    <x v="22"/>
    <x v="11"/>
    <x v="4"/>
    <x v="8"/>
    <x v="4"/>
  </r>
  <r>
    <x v="0"/>
    <x v="1"/>
    <x v="15"/>
    <x v="44"/>
    <x v="25"/>
    <x v="49"/>
    <x v="4"/>
    <x v="0"/>
    <x v="3"/>
    <x v="8"/>
    <x v="13"/>
    <x v="15"/>
    <x v="15"/>
    <x v="22"/>
    <x v="11"/>
    <x v="4"/>
    <x v="8"/>
    <x v="4"/>
  </r>
  <r>
    <x v="0"/>
    <x v="1"/>
    <x v="15"/>
    <x v="44"/>
    <x v="108"/>
    <x v="55"/>
    <x v="8"/>
    <x v="0"/>
    <x v="3"/>
    <x v="8"/>
    <x v="13"/>
    <x v="15"/>
    <x v="15"/>
    <x v="22"/>
    <x v="11"/>
    <x v="4"/>
    <x v="8"/>
    <x v="4"/>
  </r>
  <r>
    <x v="0"/>
    <x v="1"/>
    <x v="16"/>
    <x v="56"/>
    <x v="88"/>
    <x v="24"/>
    <x v="1"/>
    <x v="0"/>
    <x v="3"/>
    <x v="8"/>
    <x v="13"/>
    <x v="15"/>
    <x v="15"/>
    <x v="22"/>
    <x v="11"/>
    <x v="4"/>
    <x v="8"/>
    <x v="4"/>
  </r>
  <r>
    <x v="0"/>
    <x v="1"/>
    <x v="16"/>
    <x v="56"/>
    <x v="30"/>
    <x v="41"/>
    <x v="4"/>
    <x v="0"/>
    <x v="3"/>
    <x v="8"/>
    <x v="13"/>
    <x v="15"/>
    <x v="15"/>
    <x v="22"/>
    <x v="11"/>
    <x v="4"/>
    <x v="8"/>
    <x v="4"/>
  </r>
  <r>
    <x v="0"/>
    <x v="1"/>
    <x v="16"/>
    <x v="56"/>
    <x v="33"/>
    <x v="41"/>
    <x v="4"/>
    <x v="0"/>
    <x v="3"/>
    <x v="8"/>
    <x v="13"/>
    <x v="15"/>
    <x v="15"/>
    <x v="22"/>
    <x v="11"/>
    <x v="4"/>
    <x v="8"/>
    <x v="4"/>
  </r>
  <r>
    <x v="0"/>
    <x v="1"/>
    <x v="16"/>
    <x v="56"/>
    <x v="143"/>
    <x v="40"/>
    <x v="4"/>
    <x v="0"/>
    <x v="3"/>
    <x v="8"/>
    <x v="13"/>
    <x v="15"/>
    <x v="15"/>
    <x v="22"/>
    <x v="11"/>
    <x v="4"/>
    <x v="8"/>
    <x v="4"/>
  </r>
  <r>
    <x v="0"/>
    <x v="1"/>
    <x v="16"/>
    <x v="56"/>
    <x v="138"/>
    <x v="42"/>
    <x v="4"/>
    <x v="0"/>
    <x v="3"/>
    <x v="8"/>
    <x v="13"/>
    <x v="15"/>
    <x v="15"/>
    <x v="22"/>
    <x v="11"/>
    <x v="4"/>
    <x v="8"/>
    <x v="4"/>
  </r>
  <r>
    <x v="0"/>
    <x v="1"/>
    <x v="16"/>
    <x v="56"/>
    <x v="137"/>
    <x v="42"/>
    <x v="4"/>
    <x v="0"/>
    <x v="1"/>
    <x v="4"/>
    <x v="12"/>
    <x v="14"/>
    <x v="15"/>
    <x v="22"/>
    <x v="23"/>
    <x v="47"/>
    <x v="11"/>
    <x v="6"/>
  </r>
  <r>
    <x v="0"/>
    <x v="1"/>
    <x v="16"/>
    <x v="56"/>
    <x v="2"/>
    <x v="42"/>
    <x v="4"/>
    <x v="0"/>
    <x v="1"/>
    <x v="4"/>
    <x v="12"/>
    <x v="14"/>
    <x v="15"/>
    <x v="22"/>
    <x v="23"/>
    <x v="47"/>
    <x v="11"/>
    <x v="6"/>
  </r>
  <r>
    <x v="0"/>
    <x v="1"/>
    <x v="16"/>
    <x v="56"/>
    <x v="184"/>
    <x v="42"/>
    <x v="4"/>
    <x v="0"/>
    <x v="1"/>
    <x v="4"/>
    <x v="12"/>
    <x v="14"/>
    <x v="15"/>
    <x v="22"/>
    <x v="23"/>
    <x v="47"/>
    <x v="11"/>
    <x v="6"/>
  </r>
  <r>
    <x v="0"/>
    <x v="1"/>
    <x v="16"/>
    <x v="56"/>
    <x v="151"/>
    <x v="45"/>
    <x v="4"/>
    <x v="0"/>
    <x v="3"/>
    <x v="8"/>
    <x v="13"/>
    <x v="15"/>
    <x v="15"/>
    <x v="22"/>
    <x v="11"/>
    <x v="4"/>
    <x v="8"/>
    <x v="4"/>
  </r>
  <r>
    <x v="0"/>
    <x v="1"/>
    <x v="16"/>
    <x v="56"/>
    <x v="25"/>
    <x v="49"/>
    <x v="4"/>
    <x v="0"/>
    <x v="3"/>
    <x v="8"/>
    <x v="13"/>
    <x v="15"/>
    <x v="15"/>
    <x v="22"/>
    <x v="11"/>
    <x v="4"/>
    <x v="8"/>
    <x v="4"/>
  </r>
  <r>
    <x v="0"/>
    <x v="1"/>
    <x v="16"/>
    <x v="56"/>
    <x v="31"/>
    <x v="47"/>
    <x v="4"/>
    <x v="0"/>
    <x v="3"/>
    <x v="8"/>
    <x v="13"/>
    <x v="15"/>
    <x v="15"/>
    <x v="22"/>
    <x v="11"/>
    <x v="4"/>
    <x v="8"/>
    <x v="4"/>
  </r>
  <r>
    <x v="0"/>
    <x v="1"/>
    <x v="16"/>
    <x v="56"/>
    <x v="34"/>
    <x v="47"/>
    <x v="4"/>
    <x v="0"/>
    <x v="3"/>
    <x v="8"/>
    <x v="13"/>
    <x v="15"/>
    <x v="15"/>
    <x v="22"/>
    <x v="11"/>
    <x v="4"/>
    <x v="8"/>
    <x v="4"/>
  </r>
  <r>
    <x v="0"/>
    <x v="1"/>
    <x v="16"/>
    <x v="56"/>
    <x v="108"/>
    <x v="55"/>
    <x v="8"/>
    <x v="0"/>
    <x v="3"/>
    <x v="8"/>
    <x v="13"/>
    <x v="15"/>
    <x v="15"/>
    <x v="22"/>
    <x v="11"/>
    <x v="4"/>
    <x v="8"/>
    <x v="4"/>
  </r>
  <r>
    <x v="0"/>
    <x v="1"/>
    <x v="16"/>
    <x v="56"/>
    <x v="29"/>
    <x v="53"/>
    <x v="8"/>
    <x v="0"/>
    <x v="3"/>
    <x v="8"/>
    <x v="13"/>
    <x v="15"/>
    <x v="15"/>
    <x v="22"/>
    <x v="11"/>
    <x v="4"/>
    <x v="8"/>
    <x v="4"/>
  </r>
  <r>
    <x v="0"/>
    <x v="1"/>
    <x v="16"/>
    <x v="56"/>
    <x v="32"/>
    <x v="53"/>
    <x v="8"/>
    <x v="0"/>
    <x v="3"/>
    <x v="8"/>
    <x v="13"/>
    <x v="15"/>
    <x v="15"/>
    <x v="22"/>
    <x v="11"/>
    <x v="4"/>
    <x v="8"/>
    <x v="4"/>
  </r>
  <r>
    <x v="0"/>
    <x v="1"/>
    <x v="17"/>
    <x v="56"/>
    <x v="41"/>
    <x v="38"/>
    <x v="4"/>
    <x v="0"/>
    <x v="3"/>
    <x v="8"/>
    <x v="13"/>
    <x v="15"/>
    <x v="15"/>
    <x v="22"/>
    <x v="11"/>
    <x v="4"/>
    <x v="8"/>
    <x v="4"/>
  </r>
  <r>
    <x v="0"/>
    <x v="1"/>
    <x v="18"/>
    <x v="13"/>
    <x v="36"/>
    <x v="36"/>
    <x v="4"/>
    <x v="0"/>
    <x v="3"/>
    <x v="8"/>
    <x v="13"/>
    <x v="15"/>
    <x v="15"/>
    <x v="22"/>
    <x v="11"/>
    <x v="4"/>
    <x v="8"/>
    <x v="4"/>
  </r>
  <r>
    <x v="0"/>
    <x v="1"/>
    <x v="18"/>
    <x v="13"/>
    <x v="151"/>
    <x v="45"/>
    <x v="4"/>
    <x v="0"/>
    <x v="3"/>
    <x v="8"/>
    <x v="13"/>
    <x v="15"/>
    <x v="15"/>
    <x v="22"/>
    <x v="11"/>
    <x v="4"/>
    <x v="8"/>
    <x v="4"/>
  </r>
  <r>
    <x v="0"/>
    <x v="1"/>
    <x v="19"/>
    <x v="14"/>
    <x v="143"/>
    <x v="40"/>
    <x v="4"/>
    <x v="0"/>
    <x v="3"/>
    <x v="8"/>
    <x v="13"/>
    <x v="15"/>
    <x v="15"/>
    <x v="22"/>
    <x v="11"/>
    <x v="4"/>
    <x v="8"/>
    <x v="4"/>
  </r>
  <r>
    <x v="0"/>
    <x v="1"/>
    <x v="19"/>
    <x v="14"/>
    <x v="25"/>
    <x v="49"/>
    <x v="4"/>
    <x v="0"/>
    <x v="3"/>
    <x v="8"/>
    <x v="13"/>
    <x v="15"/>
    <x v="15"/>
    <x v="22"/>
    <x v="11"/>
    <x v="4"/>
    <x v="8"/>
    <x v="4"/>
  </r>
  <r>
    <x v="0"/>
    <x v="1"/>
    <x v="19"/>
    <x v="14"/>
    <x v="118"/>
    <x v="55"/>
    <x v="8"/>
    <x v="0"/>
    <x v="3"/>
    <x v="8"/>
    <x v="13"/>
    <x v="15"/>
    <x v="15"/>
    <x v="22"/>
    <x v="11"/>
    <x v="4"/>
    <x v="8"/>
    <x v="4"/>
  </r>
  <r>
    <x v="0"/>
    <x v="1"/>
    <x v="20"/>
    <x v="38"/>
    <x v="37"/>
    <x v="32"/>
    <x v="1"/>
    <x v="0"/>
    <x v="3"/>
    <x v="8"/>
    <x v="13"/>
    <x v="15"/>
    <x v="15"/>
    <x v="22"/>
    <x v="11"/>
    <x v="4"/>
    <x v="8"/>
    <x v="4"/>
  </r>
  <r>
    <x v="0"/>
    <x v="1"/>
    <x v="21"/>
    <x v="38"/>
    <x v="143"/>
    <x v="40"/>
    <x v="4"/>
    <x v="0"/>
    <x v="3"/>
    <x v="8"/>
    <x v="13"/>
    <x v="15"/>
    <x v="15"/>
    <x v="22"/>
    <x v="11"/>
    <x v="4"/>
    <x v="8"/>
    <x v="4"/>
  </r>
  <r>
    <x v="0"/>
    <x v="1"/>
    <x v="21"/>
    <x v="38"/>
    <x v="151"/>
    <x v="45"/>
    <x v="4"/>
    <x v="0"/>
    <x v="3"/>
    <x v="8"/>
    <x v="13"/>
    <x v="15"/>
    <x v="15"/>
    <x v="22"/>
    <x v="11"/>
    <x v="4"/>
    <x v="8"/>
    <x v="4"/>
  </r>
  <r>
    <x v="0"/>
    <x v="1"/>
    <x v="21"/>
    <x v="38"/>
    <x v="25"/>
    <x v="49"/>
    <x v="4"/>
    <x v="0"/>
    <x v="3"/>
    <x v="8"/>
    <x v="13"/>
    <x v="15"/>
    <x v="15"/>
    <x v="22"/>
    <x v="11"/>
    <x v="4"/>
    <x v="8"/>
    <x v="4"/>
  </r>
  <r>
    <x v="0"/>
    <x v="1"/>
    <x v="21"/>
    <x v="38"/>
    <x v="120"/>
    <x v="52"/>
    <x v="8"/>
    <x v="0"/>
    <x v="3"/>
    <x v="8"/>
    <x v="13"/>
    <x v="15"/>
    <x v="15"/>
    <x v="22"/>
    <x v="11"/>
    <x v="4"/>
    <x v="8"/>
    <x v="4"/>
  </r>
  <r>
    <x v="0"/>
    <x v="1"/>
    <x v="22"/>
    <x v="53"/>
    <x v="88"/>
    <x v="24"/>
    <x v="1"/>
    <x v="0"/>
    <x v="3"/>
    <x v="8"/>
    <x v="13"/>
    <x v="15"/>
    <x v="15"/>
    <x v="22"/>
    <x v="11"/>
    <x v="34"/>
    <x v="8"/>
    <x v="0"/>
  </r>
  <r>
    <x v="0"/>
    <x v="1"/>
    <x v="22"/>
    <x v="53"/>
    <x v="143"/>
    <x v="40"/>
    <x v="4"/>
    <x v="0"/>
    <x v="3"/>
    <x v="8"/>
    <x v="13"/>
    <x v="15"/>
    <x v="15"/>
    <x v="22"/>
    <x v="11"/>
    <x v="4"/>
    <x v="8"/>
    <x v="4"/>
  </r>
  <r>
    <x v="0"/>
    <x v="1"/>
    <x v="22"/>
    <x v="53"/>
    <x v="151"/>
    <x v="45"/>
    <x v="4"/>
    <x v="0"/>
    <x v="3"/>
    <x v="8"/>
    <x v="13"/>
    <x v="15"/>
    <x v="15"/>
    <x v="22"/>
    <x v="11"/>
    <x v="4"/>
    <x v="8"/>
    <x v="4"/>
  </r>
  <r>
    <x v="0"/>
    <x v="1"/>
    <x v="22"/>
    <x v="53"/>
    <x v="25"/>
    <x v="49"/>
    <x v="4"/>
    <x v="0"/>
    <x v="3"/>
    <x v="8"/>
    <x v="13"/>
    <x v="15"/>
    <x v="15"/>
    <x v="22"/>
    <x v="11"/>
    <x v="4"/>
    <x v="8"/>
    <x v="4"/>
  </r>
  <r>
    <x v="0"/>
    <x v="1"/>
    <x v="22"/>
    <x v="53"/>
    <x v="108"/>
    <x v="55"/>
    <x v="8"/>
    <x v="0"/>
    <x v="3"/>
    <x v="8"/>
    <x v="13"/>
    <x v="15"/>
    <x v="15"/>
    <x v="22"/>
    <x v="11"/>
    <x v="4"/>
    <x v="8"/>
    <x v="4"/>
  </r>
  <r>
    <x v="0"/>
    <x v="1"/>
    <x v="23"/>
    <x v="48"/>
    <x v="62"/>
    <x v="41"/>
    <x v="4"/>
    <x v="0"/>
    <x v="3"/>
    <x v="8"/>
    <x v="13"/>
    <x v="15"/>
    <x v="15"/>
    <x v="22"/>
    <x v="11"/>
    <x v="4"/>
    <x v="8"/>
    <x v="4"/>
  </r>
  <r>
    <x v="0"/>
    <x v="1"/>
    <x v="23"/>
    <x v="48"/>
    <x v="95"/>
    <x v="40"/>
    <x v="4"/>
    <x v="0"/>
    <x v="3"/>
    <x v="8"/>
    <x v="13"/>
    <x v="15"/>
    <x v="15"/>
    <x v="22"/>
    <x v="11"/>
    <x v="4"/>
    <x v="8"/>
    <x v="4"/>
  </r>
  <r>
    <x v="0"/>
    <x v="1"/>
    <x v="23"/>
    <x v="48"/>
    <x v="151"/>
    <x v="45"/>
    <x v="4"/>
    <x v="0"/>
    <x v="3"/>
    <x v="8"/>
    <x v="13"/>
    <x v="15"/>
    <x v="15"/>
    <x v="22"/>
    <x v="11"/>
    <x v="4"/>
    <x v="8"/>
    <x v="4"/>
  </r>
  <r>
    <x v="0"/>
    <x v="1"/>
    <x v="23"/>
    <x v="48"/>
    <x v="94"/>
    <x v="49"/>
    <x v="4"/>
    <x v="0"/>
    <x v="3"/>
    <x v="8"/>
    <x v="13"/>
    <x v="15"/>
    <x v="15"/>
    <x v="22"/>
    <x v="11"/>
    <x v="4"/>
    <x v="8"/>
    <x v="4"/>
  </r>
  <r>
    <x v="0"/>
    <x v="1"/>
    <x v="23"/>
    <x v="48"/>
    <x v="61"/>
    <x v="47"/>
    <x v="4"/>
    <x v="0"/>
    <x v="3"/>
    <x v="8"/>
    <x v="13"/>
    <x v="15"/>
    <x v="15"/>
    <x v="22"/>
    <x v="11"/>
    <x v="4"/>
    <x v="8"/>
    <x v="4"/>
  </r>
  <r>
    <x v="0"/>
    <x v="1"/>
    <x v="23"/>
    <x v="48"/>
    <x v="119"/>
    <x v="56"/>
    <x v="8"/>
    <x v="0"/>
    <x v="3"/>
    <x v="8"/>
    <x v="13"/>
    <x v="15"/>
    <x v="15"/>
    <x v="22"/>
    <x v="11"/>
    <x v="4"/>
    <x v="8"/>
    <x v="4"/>
  </r>
  <r>
    <x v="0"/>
    <x v="1"/>
    <x v="24"/>
    <x v="77"/>
    <x v="12"/>
    <x v="3"/>
    <x v="0"/>
    <x v="0"/>
    <x v="3"/>
    <x v="1"/>
    <x v="8"/>
    <x v="0"/>
    <x v="0"/>
    <x v="5"/>
    <x v="11"/>
    <x v="4"/>
    <x v="8"/>
    <x v="4"/>
  </r>
  <r>
    <x v="0"/>
    <x v="1"/>
    <x v="24"/>
    <x v="77"/>
    <x v="184"/>
    <x v="42"/>
    <x v="4"/>
    <x v="0"/>
    <x v="1"/>
    <x v="4"/>
    <x v="12"/>
    <x v="14"/>
    <x v="15"/>
    <x v="22"/>
    <x v="23"/>
    <x v="47"/>
    <x v="11"/>
    <x v="6"/>
  </r>
  <r>
    <x v="0"/>
    <x v="1"/>
    <x v="24"/>
    <x v="77"/>
    <x v="137"/>
    <x v="42"/>
    <x v="4"/>
    <x v="0"/>
    <x v="3"/>
    <x v="8"/>
    <x v="13"/>
    <x v="15"/>
    <x v="15"/>
    <x v="22"/>
    <x v="23"/>
    <x v="47"/>
    <x v="11"/>
    <x v="6"/>
  </r>
  <r>
    <x v="0"/>
    <x v="1"/>
    <x v="25"/>
    <x v="77"/>
    <x v="143"/>
    <x v="40"/>
    <x v="4"/>
    <x v="0"/>
    <x v="3"/>
    <x v="8"/>
    <x v="13"/>
    <x v="15"/>
    <x v="15"/>
    <x v="22"/>
    <x v="11"/>
    <x v="4"/>
    <x v="8"/>
    <x v="4"/>
  </r>
  <r>
    <x v="0"/>
    <x v="1"/>
    <x v="25"/>
    <x v="77"/>
    <x v="151"/>
    <x v="45"/>
    <x v="4"/>
    <x v="0"/>
    <x v="3"/>
    <x v="8"/>
    <x v="13"/>
    <x v="15"/>
    <x v="15"/>
    <x v="22"/>
    <x v="11"/>
    <x v="4"/>
    <x v="8"/>
    <x v="4"/>
  </r>
  <r>
    <x v="0"/>
    <x v="1"/>
    <x v="25"/>
    <x v="77"/>
    <x v="25"/>
    <x v="49"/>
    <x v="4"/>
    <x v="0"/>
    <x v="3"/>
    <x v="8"/>
    <x v="13"/>
    <x v="15"/>
    <x v="15"/>
    <x v="22"/>
    <x v="11"/>
    <x v="4"/>
    <x v="8"/>
    <x v="4"/>
  </r>
  <r>
    <x v="0"/>
    <x v="1"/>
    <x v="25"/>
    <x v="77"/>
    <x v="109"/>
    <x v="52"/>
    <x v="8"/>
    <x v="0"/>
    <x v="3"/>
    <x v="8"/>
    <x v="13"/>
    <x v="15"/>
    <x v="15"/>
    <x v="22"/>
    <x v="11"/>
    <x v="4"/>
    <x v="8"/>
    <x v="4"/>
  </r>
  <r>
    <x v="0"/>
    <x v="1"/>
    <x v="26"/>
    <x v="77"/>
    <x v="41"/>
    <x v="38"/>
    <x v="4"/>
    <x v="0"/>
    <x v="3"/>
    <x v="8"/>
    <x v="13"/>
    <x v="15"/>
    <x v="15"/>
    <x v="22"/>
    <x v="11"/>
    <x v="4"/>
    <x v="8"/>
    <x v="4"/>
  </r>
  <r>
    <x v="0"/>
    <x v="1"/>
    <x v="27"/>
    <x v="76"/>
    <x v="12"/>
    <x v="3"/>
    <x v="0"/>
    <x v="0"/>
    <x v="3"/>
    <x v="1"/>
    <x v="8"/>
    <x v="0"/>
    <x v="0"/>
    <x v="5"/>
    <x v="11"/>
    <x v="4"/>
    <x v="8"/>
    <x v="4"/>
  </r>
  <r>
    <x v="0"/>
    <x v="1"/>
    <x v="27"/>
    <x v="76"/>
    <x v="184"/>
    <x v="42"/>
    <x v="4"/>
    <x v="0"/>
    <x v="1"/>
    <x v="4"/>
    <x v="12"/>
    <x v="14"/>
    <x v="15"/>
    <x v="22"/>
    <x v="23"/>
    <x v="47"/>
    <x v="11"/>
    <x v="6"/>
  </r>
  <r>
    <x v="0"/>
    <x v="1"/>
    <x v="27"/>
    <x v="76"/>
    <x v="137"/>
    <x v="42"/>
    <x v="4"/>
    <x v="0"/>
    <x v="3"/>
    <x v="8"/>
    <x v="13"/>
    <x v="15"/>
    <x v="15"/>
    <x v="22"/>
    <x v="23"/>
    <x v="47"/>
    <x v="11"/>
    <x v="6"/>
  </r>
  <r>
    <x v="0"/>
    <x v="1"/>
    <x v="28"/>
    <x v="76"/>
    <x v="143"/>
    <x v="41"/>
    <x v="4"/>
    <x v="0"/>
    <x v="3"/>
    <x v="8"/>
    <x v="13"/>
    <x v="15"/>
    <x v="15"/>
    <x v="22"/>
    <x v="11"/>
    <x v="4"/>
    <x v="8"/>
    <x v="4"/>
  </r>
  <r>
    <x v="0"/>
    <x v="1"/>
    <x v="28"/>
    <x v="76"/>
    <x v="151"/>
    <x v="45"/>
    <x v="4"/>
    <x v="0"/>
    <x v="3"/>
    <x v="8"/>
    <x v="13"/>
    <x v="15"/>
    <x v="15"/>
    <x v="22"/>
    <x v="11"/>
    <x v="4"/>
    <x v="8"/>
    <x v="4"/>
  </r>
  <r>
    <x v="0"/>
    <x v="1"/>
    <x v="28"/>
    <x v="76"/>
    <x v="25"/>
    <x v="47"/>
    <x v="4"/>
    <x v="0"/>
    <x v="3"/>
    <x v="8"/>
    <x v="13"/>
    <x v="15"/>
    <x v="15"/>
    <x v="22"/>
    <x v="11"/>
    <x v="4"/>
    <x v="8"/>
    <x v="4"/>
  </r>
  <r>
    <x v="0"/>
    <x v="1"/>
    <x v="28"/>
    <x v="76"/>
    <x v="109"/>
    <x v="52"/>
    <x v="8"/>
    <x v="0"/>
    <x v="3"/>
    <x v="8"/>
    <x v="13"/>
    <x v="15"/>
    <x v="15"/>
    <x v="22"/>
    <x v="11"/>
    <x v="4"/>
    <x v="8"/>
    <x v="4"/>
  </r>
  <r>
    <x v="0"/>
    <x v="1"/>
    <x v="29"/>
    <x v="76"/>
    <x v="41"/>
    <x v="38"/>
    <x v="4"/>
    <x v="0"/>
    <x v="3"/>
    <x v="8"/>
    <x v="13"/>
    <x v="15"/>
    <x v="15"/>
    <x v="22"/>
    <x v="11"/>
    <x v="4"/>
    <x v="8"/>
    <x v="4"/>
  </r>
  <r>
    <x v="0"/>
    <x v="1"/>
    <x v="30"/>
    <x v="75"/>
    <x v="12"/>
    <x v="3"/>
    <x v="0"/>
    <x v="0"/>
    <x v="3"/>
    <x v="1"/>
    <x v="8"/>
    <x v="0"/>
    <x v="0"/>
    <x v="5"/>
    <x v="11"/>
    <x v="4"/>
    <x v="8"/>
    <x v="4"/>
  </r>
  <r>
    <x v="0"/>
    <x v="1"/>
    <x v="30"/>
    <x v="75"/>
    <x v="184"/>
    <x v="42"/>
    <x v="4"/>
    <x v="0"/>
    <x v="1"/>
    <x v="4"/>
    <x v="12"/>
    <x v="14"/>
    <x v="15"/>
    <x v="22"/>
    <x v="23"/>
    <x v="47"/>
    <x v="11"/>
    <x v="6"/>
  </r>
  <r>
    <x v="0"/>
    <x v="1"/>
    <x v="30"/>
    <x v="75"/>
    <x v="137"/>
    <x v="42"/>
    <x v="4"/>
    <x v="0"/>
    <x v="3"/>
    <x v="8"/>
    <x v="13"/>
    <x v="15"/>
    <x v="15"/>
    <x v="22"/>
    <x v="23"/>
    <x v="47"/>
    <x v="11"/>
    <x v="6"/>
  </r>
  <r>
    <x v="0"/>
    <x v="1"/>
    <x v="31"/>
    <x v="75"/>
    <x v="143"/>
    <x v="40"/>
    <x v="4"/>
    <x v="0"/>
    <x v="3"/>
    <x v="8"/>
    <x v="13"/>
    <x v="15"/>
    <x v="15"/>
    <x v="22"/>
    <x v="11"/>
    <x v="4"/>
    <x v="8"/>
    <x v="4"/>
  </r>
  <r>
    <x v="0"/>
    <x v="1"/>
    <x v="31"/>
    <x v="75"/>
    <x v="151"/>
    <x v="45"/>
    <x v="4"/>
    <x v="0"/>
    <x v="3"/>
    <x v="8"/>
    <x v="13"/>
    <x v="15"/>
    <x v="15"/>
    <x v="22"/>
    <x v="11"/>
    <x v="4"/>
    <x v="8"/>
    <x v="4"/>
  </r>
  <r>
    <x v="0"/>
    <x v="1"/>
    <x v="31"/>
    <x v="75"/>
    <x v="25"/>
    <x v="49"/>
    <x v="4"/>
    <x v="0"/>
    <x v="3"/>
    <x v="8"/>
    <x v="13"/>
    <x v="15"/>
    <x v="15"/>
    <x v="22"/>
    <x v="11"/>
    <x v="4"/>
    <x v="8"/>
    <x v="4"/>
  </r>
  <r>
    <x v="0"/>
    <x v="1"/>
    <x v="31"/>
    <x v="75"/>
    <x v="109"/>
    <x v="52"/>
    <x v="8"/>
    <x v="0"/>
    <x v="3"/>
    <x v="8"/>
    <x v="13"/>
    <x v="15"/>
    <x v="15"/>
    <x v="22"/>
    <x v="11"/>
    <x v="4"/>
    <x v="8"/>
    <x v="4"/>
  </r>
  <r>
    <x v="0"/>
    <x v="1"/>
    <x v="32"/>
    <x v="75"/>
    <x v="41"/>
    <x v="38"/>
    <x v="4"/>
    <x v="0"/>
    <x v="3"/>
    <x v="8"/>
    <x v="13"/>
    <x v="15"/>
    <x v="15"/>
    <x v="22"/>
    <x v="11"/>
    <x v="4"/>
    <x v="8"/>
    <x v="4"/>
  </r>
  <r>
    <x v="0"/>
    <x v="1"/>
    <x v="33"/>
    <x v="53"/>
    <x v="41"/>
    <x v="38"/>
    <x v="4"/>
    <x v="0"/>
    <x v="3"/>
    <x v="8"/>
    <x v="13"/>
    <x v="15"/>
    <x v="15"/>
    <x v="22"/>
    <x v="11"/>
    <x v="4"/>
    <x v="8"/>
    <x v="4"/>
  </r>
  <r>
    <x v="0"/>
    <x v="1"/>
    <x v="34"/>
    <x v="73"/>
    <x v="37"/>
    <x v="32"/>
    <x v="1"/>
    <x v="0"/>
    <x v="3"/>
    <x v="8"/>
    <x v="13"/>
    <x v="15"/>
    <x v="15"/>
    <x v="22"/>
    <x v="11"/>
    <x v="24"/>
    <x v="8"/>
    <x v="6"/>
  </r>
  <r>
    <x v="0"/>
    <x v="1"/>
    <x v="34"/>
    <x v="73"/>
    <x v="151"/>
    <x v="45"/>
    <x v="4"/>
    <x v="0"/>
    <x v="3"/>
    <x v="8"/>
    <x v="13"/>
    <x v="15"/>
    <x v="15"/>
    <x v="22"/>
    <x v="8"/>
    <x v="18"/>
    <x v="11"/>
    <x v="6"/>
  </r>
  <r>
    <x v="0"/>
    <x v="1"/>
    <x v="35"/>
    <x v="72"/>
    <x v="37"/>
    <x v="32"/>
    <x v="1"/>
    <x v="0"/>
    <x v="3"/>
    <x v="8"/>
    <x v="13"/>
    <x v="15"/>
    <x v="15"/>
    <x v="22"/>
    <x v="11"/>
    <x v="24"/>
    <x v="8"/>
    <x v="6"/>
  </r>
  <r>
    <x v="0"/>
    <x v="1"/>
    <x v="35"/>
    <x v="72"/>
    <x v="151"/>
    <x v="45"/>
    <x v="4"/>
    <x v="0"/>
    <x v="3"/>
    <x v="8"/>
    <x v="13"/>
    <x v="15"/>
    <x v="15"/>
    <x v="22"/>
    <x v="8"/>
    <x v="18"/>
    <x v="11"/>
    <x v="6"/>
  </r>
  <r>
    <x v="0"/>
    <x v="1"/>
    <x v="36"/>
    <x v="71"/>
    <x v="37"/>
    <x v="32"/>
    <x v="1"/>
    <x v="0"/>
    <x v="3"/>
    <x v="8"/>
    <x v="13"/>
    <x v="15"/>
    <x v="15"/>
    <x v="22"/>
    <x v="11"/>
    <x v="24"/>
    <x v="8"/>
    <x v="6"/>
  </r>
  <r>
    <x v="0"/>
    <x v="1"/>
    <x v="36"/>
    <x v="71"/>
    <x v="151"/>
    <x v="45"/>
    <x v="4"/>
    <x v="0"/>
    <x v="3"/>
    <x v="8"/>
    <x v="13"/>
    <x v="15"/>
    <x v="15"/>
    <x v="22"/>
    <x v="8"/>
    <x v="18"/>
    <x v="11"/>
    <x v="6"/>
  </r>
  <r>
    <x v="0"/>
    <x v="1"/>
    <x v="37"/>
    <x v="78"/>
    <x v="204"/>
    <x v="17"/>
    <x v="5"/>
    <x v="0"/>
    <x v="3"/>
    <x v="8"/>
    <x v="13"/>
    <x v="15"/>
    <x v="15"/>
    <x v="22"/>
    <x v="1"/>
    <x v="44"/>
    <x v="5"/>
    <x v="6"/>
  </r>
  <r>
    <x v="0"/>
    <x v="1"/>
    <x v="38"/>
    <x v="19"/>
    <x v="204"/>
    <x v="34"/>
    <x v="3"/>
    <x v="0"/>
    <x v="0"/>
    <x v="5"/>
    <x v="13"/>
    <x v="15"/>
    <x v="15"/>
    <x v="22"/>
    <x v="23"/>
    <x v="47"/>
    <x v="11"/>
    <x v="6"/>
  </r>
  <r>
    <x v="0"/>
    <x v="1"/>
    <x v="38"/>
    <x v="19"/>
    <x v="204"/>
    <x v="34"/>
    <x v="3"/>
    <x v="0"/>
    <x v="3"/>
    <x v="8"/>
    <x v="13"/>
    <x v="15"/>
    <x v="15"/>
    <x v="22"/>
    <x v="10"/>
    <x v="22"/>
    <x v="11"/>
    <x v="6"/>
  </r>
  <r>
    <x v="0"/>
    <x v="1"/>
    <x v="38"/>
    <x v="19"/>
    <x v="181"/>
    <x v="35"/>
    <x v="3"/>
    <x v="0"/>
    <x v="3"/>
    <x v="8"/>
    <x v="13"/>
    <x v="15"/>
    <x v="15"/>
    <x v="22"/>
    <x v="10"/>
    <x v="22"/>
    <x v="11"/>
    <x v="6"/>
  </r>
  <r>
    <x v="0"/>
    <x v="1"/>
    <x v="39"/>
    <x v="19"/>
    <x v="106"/>
    <x v="4"/>
    <x v="0"/>
    <x v="0"/>
    <x v="3"/>
    <x v="1"/>
    <x v="4"/>
    <x v="6"/>
    <x v="10"/>
    <x v="1"/>
    <x v="10"/>
    <x v="37"/>
    <x v="11"/>
    <x v="5"/>
  </r>
  <r>
    <x v="0"/>
    <x v="1"/>
    <x v="39"/>
    <x v="19"/>
    <x v="180"/>
    <x v="4"/>
    <x v="0"/>
    <x v="0"/>
    <x v="3"/>
    <x v="1"/>
    <x v="4"/>
    <x v="6"/>
    <x v="10"/>
    <x v="1"/>
    <x v="10"/>
    <x v="37"/>
    <x v="11"/>
    <x v="5"/>
  </r>
  <r>
    <x v="0"/>
    <x v="1"/>
    <x v="40"/>
    <x v="5"/>
    <x v="36"/>
    <x v="36"/>
    <x v="4"/>
    <x v="0"/>
    <x v="3"/>
    <x v="8"/>
    <x v="13"/>
    <x v="15"/>
    <x v="15"/>
    <x v="22"/>
    <x v="11"/>
    <x v="4"/>
    <x v="8"/>
    <x v="4"/>
  </r>
  <r>
    <x v="0"/>
    <x v="1"/>
    <x v="41"/>
    <x v="6"/>
    <x v="143"/>
    <x v="40"/>
    <x v="4"/>
    <x v="0"/>
    <x v="3"/>
    <x v="8"/>
    <x v="13"/>
    <x v="15"/>
    <x v="15"/>
    <x v="22"/>
    <x v="11"/>
    <x v="4"/>
    <x v="8"/>
    <x v="4"/>
  </r>
  <r>
    <x v="0"/>
    <x v="1"/>
    <x v="41"/>
    <x v="6"/>
    <x v="25"/>
    <x v="49"/>
    <x v="4"/>
    <x v="0"/>
    <x v="3"/>
    <x v="8"/>
    <x v="13"/>
    <x v="15"/>
    <x v="15"/>
    <x v="22"/>
    <x v="11"/>
    <x v="4"/>
    <x v="8"/>
    <x v="4"/>
  </r>
  <r>
    <x v="0"/>
    <x v="1"/>
    <x v="41"/>
    <x v="6"/>
    <x v="118"/>
    <x v="52"/>
    <x v="8"/>
    <x v="0"/>
    <x v="3"/>
    <x v="8"/>
    <x v="13"/>
    <x v="15"/>
    <x v="15"/>
    <x v="22"/>
    <x v="11"/>
    <x v="4"/>
    <x v="8"/>
    <x v="4"/>
  </r>
  <r>
    <x v="0"/>
    <x v="1"/>
    <x v="42"/>
    <x v="7"/>
    <x v="143"/>
    <x v="40"/>
    <x v="4"/>
    <x v="0"/>
    <x v="3"/>
    <x v="8"/>
    <x v="13"/>
    <x v="15"/>
    <x v="15"/>
    <x v="22"/>
    <x v="11"/>
    <x v="4"/>
    <x v="8"/>
    <x v="4"/>
  </r>
  <r>
    <x v="0"/>
    <x v="1"/>
    <x v="42"/>
    <x v="8"/>
    <x v="151"/>
    <x v="45"/>
    <x v="4"/>
    <x v="0"/>
    <x v="3"/>
    <x v="8"/>
    <x v="13"/>
    <x v="15"/>
    <x v="15"/>
    <x v="22"/>
    <x v="11"/>
    <x v="47"/>
    <x v="6"/>
    <x v="6"/>
  </r>
  <r>
    <x v="0"/>
    <x v="1"/>
    <x v="42"/>
    <x v="7"/>
    <x v="25"/>
    <x v="48"/>
    <x v="4"/>
    <x v="0"/>
    <x v="3"/>
    <x v="8"/>
    <x v="13"/>
    <x v="15"/>
    <x v="15"/>
    <x v="22"/>
    <x v="11"/>
    <x v="4"/>
    <x v="8"/>
    <x v="4"/>
  </r>
  <r>
    <x v="0"/>
    <x v="1"/>
    <x v="42"/>
    <x v="7"/>
    <x v="108"/>
    <x v="55"/>
    <x v="8"/>
    <x v="0"/>
    <x v="3"/>
    <x v="8"/>
    <x v="13"/>
    <x v="15"/>
    <x v="15"/>
    <x v="22"/>
    <x v="11"/>
    <x v="4"/>
    <x v="8"/>
    <x v="4"/>
  </r>
  <r>
    <x v="0"/>
    <x v="1"/>
    <x v="43"/>
    <x v="8"/>
    <x v="187"/>
    <x v="29"/>
    <x v="1"/>
    <x v="0"/>
    <x v="3"/>
    <x v="8"/>
    <x v="13"/>
    <x v="15"/>
    <x v="15"/>
    <x v="22"/>
    <x v="11"/>
    <x v="27"/>
    <x v="6"/>
    <x v="6"/>
  </r>
  <r>
    <x v="0"/>
    <x v="1"/>
    <x v="44"/>
    <x v="53"/>
    <x v="37"/>
    <x v="32"/>
    <x v="1"/>
    <x v="0"/>
    <x v="3"/>
    <x v="8"/>
    <x v="13"/>
    <x v="15"/>
    <x v="15"/>
    <x v="22"/>
    <x v="11"/>
    <x v="24"/>
    <x v="8"/>
    <x v="6"/>
  </r>
  <r>
    <x v="0"/>
    <x v="1"/>
    <x v="45"/>
    <x v="9"/>
    <x v="88"/>
    <x v="24"/>
    <x v="1"/>
    <x v="0"/>
    <x v="3"/>
    <x v="8"/>
    <x v="13"/>
    <x v="15"/>
    <x v="15"/>
    <x v="22"/>
    <x v="11"/>
    <x v="34"/>
    <x v="8"/>
    <x v="6"/>
  </r>
  <r>
    <x v="0"/>
    <x v="1"/>
    <x v="45"/>
    <x v="9"/>
    <x v="193"/>
    <x v="42"/>
    <x v="4"/>
    <x v="0"/>
    <x v="1"/>
    <x v="4"/>
    <x v="12"/>
    <x v="14"/>
    <x v="15"/>
    <x v="22"/>
    <x v="23"/>
    <x v="47"/>
    <x v="11"/>
    <x v="6"/>
  </r>
  <r>
    <x v="0"/>
    <x v="1"/>
    <x v="45"/>
    <x v="9"/>
    <x v="138"/>
    <x v="42"/>
    <x v="4"/>
    <x v="0"/>
    <x v="3"/>
    <x v="8"/>
    <x v="13"/>
    <x v="15"/>
    <x v="15"/>
    <x v="22"/>
    <x v="23"/>
    <x v="47"/>
    <x v="11"/>
    <x v="6"/>
  </r>
  <r>
    <x v="0"/>
    <x v="1"/>
    <x v="45"/>
    <x v="9"/>
    <x v="137"/>
    <x v="42"/>
    <x v="4"/>
    <x v="0"/>
    <x v="3"/>
    <x v="8"/>
    <x v="13"/>
    <x v="15"/>
    <x v="15"/>
    <x v="22"/>
    <x v="23"/>
    <x v="47"/>
    <x v="11"/>
    <x v="6"/>
  </r>
  <r>
    <x v="0"/>
    <x v="1"/>
    <x v="45"/>
    <x v="9"/>
    <x v="151"/>
    <x v="45"/>
    <x v="4"/>
    <x v="0"/>
    <x v="3"/>
    <x v="8"/>
    <x v="13"/>
    <x v="15"/>
    <x v="15"/>
    <x v="22"/>
    <x v="11"/>
    <x v="4"/>
    <x v="8"/>
    <x v="4"/>
  </r>
  <r>
    <x v="0"/>
    <x v="1"/>
    <x v="46"/>
    <x v="9"/>
    <x v="143"/>
    <x v="40"/>
    <x v="4"/>
    <x v="0"/>
    <x v="3"/>
    <x v="8"/>
    <x v="13"/>
    <x v="15"/>
    <x v="15"/>
    <x v="22"/>
    <x v="11"/>
    <x v="4"/>
    <x v="8"/>
    <x v="4"/>
  </r>
  <r>
    <x v="0"/>
    <x v="1"/>
    <x v="46"/>
    <x v="9"/>
    <x v="25"/>
    <x v="48"/>
    <x v="4"/>
    <x v="0"/>
    <x v="3"/>
    <x v="8"/>
    <x v="13"/>
    <x v="15"/>
    <x v="15"/>
    <x v="22"/>
    <x v="11"/>
    <x v="4"/>
    <x v="8"/>
    <x v="4"/>
  </r>
  <r>
    <x v="0"/>
    <x v="1"/>
    <x v="46"/>
    <x v="9"/>
    <x v="108"/>
    <x v="55"/>
    <x v="8"/>
    <x v="0"/>
    <x v="3"/>
    <x v="8"/>
    <x v="13"/>
    <x v="15"/>
    <x v="15"/>
    <x v="22"/>
    <x v="11"/>
    <x v="4"/>
    <x v="8"/>
    <x v="4"/>
  </r>
  <r>
    <x v="0"/>
    <x v="1"/>
    <x v="47"/>
    <x v="10"/>
    <x v="138"/>
    <x v="42"/>
    <x v="4"/>
    <x v="0"/>
    <x v="3"/>
    <x v="8"/>
    <x v="13"/>
    <x v="15"/>
    <x v="15"/>
    <x v="22"/>
    <x v="11"/>
    <x v="4"/>
    <x v="8"/>
    <x v="4"/>
  </r>
  <r>
    <x v="0"/>
    <x v="1"/>
    <x v="47"/>
    <x v="10"/>
    <x v="141"/>
    <x v="42"/>
    <x v="4"/>
    <x v="0"/>
    <x v="1"/>
    <x v="4"/>
    <x v="12"/>
    <x v="14"/>
    <x v="15"/>
    <x v="22"/>
    <x v="23"/>
    <x v="47"/>
    <x v="11"/>
    <x v="6"/>
  </r>
  <r>
    <x v="0"/>
    <x v="1"/>
    <x v="48"/>
    <x v="10"/>
    <x v="143"/>
    <x v="40"/>
    <x v="4"/>
    <x v="0"/>
    <x v="3"/>
    <x v="8"/>
    <x v="13"/>
    <x v="15"/>
    <x v="15"/>
    <x v="22"/>
    <x v="11"/>
    <x v="4"/>
    <x v="8"/>
    <x v="4"/>
  </r>
  <r>
    <x v="0"/>
    <x v="1"/>
    <x v="48"/>
    <x v="10"/>
    <x v="25"/>
    <x v="49"/>
    <x v="4"/>
    <x v="0"/>
    <x v="3"/>
    <x v="8"/>
    <x v="13"/>
    <x v="15"/>
    <x v="15"/>
    <x v="22"/>
    <x v="11"/>
    <x v="4"/>
    <x v="8"/>
    <x v="4"/>
  </r>
  <r>
    <x v="0"/>
    <x v="1"/>
    <x v="48"/>
    <x v="10"/>
    <x v="108"/>
    <x v="55"/>
    <x v="8"/>
    <x v="0"/>
    <x v="3"/>
    <x v="8"/>
    <x v="13"/>
    <x v="15"/>
    <x v="15"/>
    <x v="22"/>
    <x v="11"/>
    <x v="4"/>
    <x v="8"/>
    <x v="4"/>
  </r>
  <r>
    <x v="0"/>
    <x v="1"/>
    <x v="49"/>
    <x v="11"/>
    <x v="138"/>
    <x v="42"/>
    <x v="4"/>
    <x v="0"/>
    <x v="1"/>
    <x v="4"/>
    <x v="12"/>
    <x v="14"/>
    <x v="15"/>
    <x v="22"/>
    <x v="23"/>
    <x v="47"/>
    <x v="11"/>
    <x v="6"/>
  </r>
  <r>
    <x v="0"/>
    <x v="1"/>
    <x v="49"/>
    <x v="11"/>
    <x v="137"/>
    <x v="42"/>
    <x v="4"/>
    <x v="0"/>
    <x v="3"/>
    <x v="8"/>
    <x v="13"/>
    <x v="15"/>
    <x v="15"/>
    <x v="22"/>
    <x v="23"/>
    <x v="47"/>
    <x v="11"/>
    <x v="6"/>
  </r>
  <r>
    <x v="0"/>
    <x v="1"/>
    <x v="50"/>
    <x v="11"/>
    <x v="143"/>
    <x v="41"/>
    <x v="4"/>
    <x v="0"/>
    <x v="3"/>
    <x v="8"/>
    <x v="13"/>
    <x v="15"/>
    <x v="15"/>
    <x v="22"/>
    <x v="11"/>
    <x v="4"/>
    <x v="8"/>
    <x v="4"/>
  </r>
  <r>
    <x v="0"/>
    <x v="1"/>
    <x v="50"/>
    <x v="11"/>
    <x v="25"/>
    <x v="47"/>
    <x v="4"/>
    <x v="0"/>
    <x v="3"/>
    <x v="8"/>
    <x v="13"/>
    <x v="15"/>
    <x v="15"/>
    <x v="22"/>
    <x v="11"/>
    <x v="4"/>
    <x v="8"/>
    <x v="4"/>
  </r>
  <r>
    <x v="0"/>
    <x v="1"/>
    <x v="50"/>
    <x v="11"/>
    <x v="108"/>
    <x v="52"/>
    <x v="8"/>
    <x v="0"/>
    <x v="3"/>
    <x v="8"/>
    <x v="13"/>
    <x v="15"/>
    <x v="15"/>
    <x v="22"/>
    <x v="11"/>
    <x v="4"/>
    <x v="8"/>
    <x v="4"/>
  </r>
  <r>
    <x v="0"/>
    <x v="1"/>
    <x v="51"/>
    <x v="12"/>
    <x v="138"/>
    <x v="42"/>
    <x v="4"/>
    <x v="0"/>
    <x v="1"/>
    <x v="4"/>
    <x v="12"/>
    <x v="14"/>
    <x v="15"/>
    <x v="22"/>
    <x v="23"/>
    <x v="47"/>
    <x v="11"/>
    <x v="6"/>
  </r>
  <r>
    <x v="0"/>
    <x v="1"/>
    <x v="51"/>
    <x v="12"/>
    <x v="137"/>
    <x v="42"/>
    <x v="4"/>
    <x v="0"/>
    <x v="3"/>
    <x v="8"/>
    <x v="13"/>
    <x v="15"/>
    <x v="15"/>
    <x v="22"/>
    <x v="23"/>
    <x v="47"/>
    <x v="11"/>
    <x v="6"/>
  </r>
  <r>
    <x v="0"/>
    <x v="1"/>
    <x v="52"/>
    <x v="12"/>
    <x v="143"/>
    <x v="40"/>
    <x v="4"/>
    <x v="0"/>
    <x v="3"/>
    <x v="8"/>
    <x v="13"/>
    <x v="15"/>
    <x v="15"/>
    <x v="22"/>
    <x v="11"/>
    <x v="4"/>
    <x v="8"/>
    <x v="4"/>
  </r>
  <r>
    <x v="0"/>
    <x v="1"/>
    <x v="52"/>
    <x v="12"/>
    <x v="25"/>
    <x v="49"/>
    <x v="4"/>
    <x v="0"/>
    <x v="3"/>
    <x v="8"/>
    <x v="13"/>
    <x v="15"/>
    <x v="15"/>
    <x v="22"/>
    <x v="11"/>
    <x v="4"/>
    <x v="8"/>
    <x v="4"/>
  </r>
  <r>
    <x v="0"/>
    <x v="1"/>
    <x v="52"/>
    <x v="12"/>
    <x v="108"/>
    <x v="55"/>
    <x v="8"/>
    <x v="0"/>
    <x v="3"/>
    <x v="8"/>
    <x v="13"/>
    <x v="15"/>
    <x v="15"/>
    <x v="22"/>
    <x v="11"/>
    <x v="4"/>
    <x v="8"/>
    <x v="4"/>
  </r>
  <r>
    <x v="0"/>
    <x v="1"/>
    <x v="53"/>
    <x v="16"/>
    <x v="88"/>
    <x v="24"/>
    <x v="1"/>
    <x v="0"/>
    <x v="3"/>
    <x v="8"/>
    <x v="13"/>
    <x v="15"/>
    <x v="15"/>
    <x v="22"/>
    <x v="11"/>
    <x v="4"/>
    <x v="8"/>
    <x v="4"/>
  </r>
  <r>
    <x v="0"/>
    <x v="1"/>
    <x v="53"/>
    <x v="16"/>
    <x v="193"/>
    <x v="42"/>
    <x v="4"/>
    <x v="0"/>
    <x v="1"/>
    <x v="4"/>
    <x v="12"/>
    <x v="14"/>
    <x v="15"/>
    <x v="22"/>
    <x v="23"/>
    <x v="47"/>
    <x v="11"/>
    <x v="6"/>
  </r>
  <r>
    <x v="0"/>
    <x v="1"/>
    <x v="53"/>
    <x v="16"/>
    <x v="138"/>
    <x v="42"/>
    <x v="4"/>
    <x v="0"/>
    <x v="3"/>
    <x v="8"/>
    <x v="13"/>
    <x v="15"/>
    <x v="15"/>
    <x v="22"/>
    <x v="23"/>
    <x v="47"/>
    <x v="11"/>
    <x v="6"/>
  </r>
  <r>
    <x v="0"/>
    <x v="1"/>
    <x v="53"/>
    <x v="16"/>
    <x v="137"/>
    <x v="42"/>
    <x v="4"/>
    <x v="0"/>
    <x v="3"/>
    <x v="8"/>
    <x v="13"/>
    <x v="15"/>
    <x v="15"/>
    <x v="22"/>
    <x v="23"/>
    <x v="47"/>
    <x v="11"/>
    <x v="6"/>
  </r>
  <r>
    <x v="0"/>
    <x v="1"/>
    <x v="54"/>
    <x v="16"/>
    <x v="143"/>
    <x v="41"/>
    <x v="4"/>
    <x v="0"/>
    <x v="3"/>
    <x v="8"/>
    <x v="13"/>
    <x v="15"/>
    <x v="15"/>
    <x v="22"/>
    <x v="11"/>
    <x v="4"/>
    <x v="8"/>
    <x v="4"/>
  </r>
  <r>
    <x v="0"/>
    <x v="1"/>
    <x v="54"/>
    <x v="16"/>
    <x v="25"/>
    <x v="47"/>
    <x v="4"/>
    <x v="0"/>
    <x v="3"/>
    <x v="8"/>
    <x v="13"/>
    <x v="15"/>
    <x v="15"/>
    <x v="22"/>
    <x v="11"/>
    <x v="4"/>
    <x v="8"/>
    <x v="4"/>
  </r>
  <r>
    <x v="0"/>
    <x v="1"/>
    <x v="54"/>
    <x v="16"/>
    <x v="108"/>
    <x v="55"/>
    <x v="8"/>
    <x v="0"/>
    <x v="3"/>
    <x v="8"/>
    <x v="13"/>
    <x v="15"/>
    <x v="15"/>
    <x v="22"/>
    <x v="11"/>
    <x v="4"/>
    <x v="8"/>
    <x v="4"/>
  </r>
  <r>
    <x v="0"/>
    <x v="1"/>
    <x v="55"/>
    <x v="46"/>
    <x v="62"/>
    <x v="41"/>
    <x v="4"/>
    <x v="0"/>
    <x v="3"/>
    <x v="8"/>
    <x v="13"/>
    <x v="15"/>
    <x v="15"/>
    <x v="22"/>
    <x v="11"/>
    <x v="4"/>
    <x v="8"/>
    <x v="4"/>
  </r>
  <r>
    <x v="0"/>
    <x v="1"/>
    <x v="55"/>
    <x v="46"/>
    <x v="95"/>
    <x v="40"/>
    <x v="4"/>
    <x v="0"/>
    <x v="3"/>
    <x v="8"/>
    <x v="13"/>
    <x v="15"/>
    <x v="15"/>
    <x v="22"/>
    <x v="11"/>
    <x v="4"/>
    <x v="8"/>
    <x v="4"/>
  </r>
  <r>
    <x v="0"/>
    <x v="1"/>
    <x v="55"/>
    <x v="46"/>
    <x v="151"/>
    <x v="45"/>
    <x v="4"/>
    <x v="0"/>
    <x v="3"/>
    <x v="8"/>
    <x v="13"/>
    <x v="15"/>
    <x v="15"/>
    <x v="22"/>
    <x v="11"/>
    <x v="4"/>
    <x v="8"/>
    <x v="4"/>
  </r>
  <r>
    <x v="0"/>
    <x v="1"/>
    <x v="55"/>
    <x v="46"/>
    <x v="94"/>
    <x v="49"/>
    <x v="4"/>
    <x v="0"/>
    <x v="3"/>
    <x v="8"/>
    <x v="13"/>
    <x v="15"/>
    <x v="15"/>
    <x v="22"/>
    <x v="11"/>
    <x v="4"/>
    <x v="8"/>
    <x v="4"/>
  </r>
  <r>
    <x v="0"/>
    <x v="1"/>
    <x v="55"/>
    <x v="46"/>
    <x v="61"/>
    <x v="47"/>
    <x v="4"/>
    <x v="0"/>
    <x v="3"/>
    <x v="8"/>
    <x v="13"/>
    <x v="15"/>
    <x v="15"/>
    <x v="22"/>
    <x v="11"/>
    <x v="4"/>
    <x v="8"/>
    <x v="4"/>
  </r>
  <r>
    <x v="0"/>
    <x v="1"/>
    <x v="55"/>
    <x v="46"/>
    <x v="119"/>
    <x v="56"/>
    <x v="8"/>
    <x v="0"/>
    <x v="3"/>
    <x v="8"/>
    <x v="13"/>
    <x v="15"/>
    <x v="15"/>
    <x v="22"/>
    <x v="11"/>
    <x v="4"/>
    <x v="8"/>
    <x v="4"/>
  </r>
  <r>
    <x v="0"/>
    <x v="1"/>
    <x v="56"/>
    <x v="15"/>
    <x v="138"/>
    <x v="42"/>
    <x v="4"/>
    <x v="0"/>
    <x v="1"/>
    <x v="4"/>
    <x v="12"/>
    <x v="14"/>
    <x v="15"/>
    <x v="22"/>
    <x v="23"/>
    <x v="47"/>
    <x v="11"/>
    <x v="6"/>
  </r>
  <r>
    <x v="0"/>
    <x v="1"/>
    <x v="56"/>
    <x v="15"/>
    <x v="137"/>
    <x v="42"/>
    <x v="4"/>
    <x v="0"/>
    <x v="3"/>
    <x v="8"/>
    <x v="13"/>
    <x v="15"/>
    <x v="15"/>
    <x v="22"/>
    <x v="23"/>
    <x v="47"/>
    <x v="11"/>
    <x v="6"/>
  </r>
  <r>
    <x v="0"/>
    <x v="1"/>
    <x v="57"/>
    <x v="15"/>
    <x v="143"/>
    <x v="40"/>
    <x v="4"/>
    <x v="0"/>
    <x v="3"/>
    <x v="8"/>
    <x v="13"/>
    <x v="15"/>
    <x v="15"/>
    <x v="22"/>
    <x v="11"/>
    <x v="4"/>
    <x v="8"/>
    <x v="4"/>
  </r>
  <r>
    <x v="0"/>
    <x v="1"/>
    <x v="57"/>
    <x v="15"/>
    <x v="25"/>
    <x v="49"/>
    <x v="4"/>
    <x v="0"/>
    <x v="3"/>
    <x v="8"/>
    <x v="13"/>
    <x v="15"/>
    <x v="15"/>
    <x v="22"/>
    <x v="11"/>
    <x v="4"/>
    <x v="8"/>
    <x v="4"/>
  </r>
  <r>
    <x v="0"/>
    <x v="1"/>
    <x v="57"/>
    <x v="15"/>
    <x v="108"/>
    <x v="55"/>
    <x v="8"/>
    <x v="0"/>
    <x v="3"/>
    <x v="8"/>
    <x v="13"/>
    <x v="15"/>
    <x v="15"/>
    <x v="22"/>
    <x v="11"/>
    <x v="4"/>
    <x v="8"/>
    <x v="4"/>
  </r>
  <r>
    <x v="0"/>
    <x v="1"/>
    <x v="58"/>
    <x v="81"/>
    <x v="8"/>
    <x v="21"/>
    <x v="1"/>
    <x v="0"/>
    <x v="3"/>
    <x v="8"/>
    <x v="13"/>
    <x v="15"/>
    <x v="15"/>
    <x v="22"/>
    <x v="13"/>
    <x v="25"/>
    <x v="7"/>
    <x v="6"/>
  </r>
  <r>
    <x v="0"/>
    <x v="1"/>
    <x v="59"/>
    <x v="19"/>
    <x v="204"/>
    <x v="34"/>
    <x v="3"/>
    <x v="0"/>
    <x v="0"/>
    <x v="5"/>
    <x v="13"/>
    <x v="15"/>
    <x v="15"/>
    <x v="22"/>
    <x v="23"/>
    <x v="47"/>
    <x v="11"/>
    <x v="6"/>
  </r>
  <r>
    <x v="0"/>
    <x v="1"/>
    <x v="59"/>
    <x v="19"/>
    <x v="204"/>
    <x v="34"/>
    <x v="3"/>
    <x v="0"/>
    <x v="3"/>
    <x v="8"/>
    <x v="13"/>
    <x v="15"/>
    <x v="15"/>
    <x v="22"/>
    <x v="10"/>
    <x v="22"/>
    <x v="11"/>
    <x v="6"/>
  </r>
  <r>
    <x v="0"/>
    <x v="1"/>
    <x v="59"/>
    <x v="19"/>
    <x v="181"/>
    <x v="35"/>
    <x v="3"/>
    <x v="0"/>
    <x v="3"/>
    <x v="8"/>
    <x v="13"/>
    <x v="15"/>
    <x v="15"/>
    <x v="22"/>
    <x v="10"/>
    <x v="22"/>
    <x v="11"/>
    <x v="6"/>
  </r>
  <r>
    <x v="0"/>
    <x v="1"/>
    <x v="60"/>
    <x v="19"/>
    <x v="106"/>
    <x v="4"/>
    <x v="0"/>
    <x v="0"/>
    <x v="3"/>
    <x v="1"/>
    <x v="4"/>
    <x v="6"/>
    <x v="10"/>
    <x v="1"/>
    <x v="10"/>
    <x v="37"/>
    <x v="11"/>
    <x v="5"/>
  </r>
  <r>
    <x v="0"/>
    <x v="1"/>
    <x v="60"/>
    <x v="19"/>
    <x v="180"/>
    <x v="4"/>
    <x v="0"/>
    <x v="0"/>
    <x v="3"/>
    <x v="1"/>
    <x v="4"/>
    <x v="6"/>
    <x v="10"/>
    <x v="1"/>
    <x v="10"/>
    <x v="37"/>
    <x v="11"/>
    <x v="5"/>
  </r>
  <r>
    <x v="0"/>
    <x v="1"/>
    <x v="61"/>
    <x v="32"/>
    <x v="143"/>
    <x v="40"/>
    <x v="4"/>
    <x v="0"/>
    <x v="3"/>
    <x v="8"/>
    <x v="13"/>
    <x v="15"/>
    <x v="15"/>
    <x v="22"/>
    <x v="11"/>
    <x v="4"/>
    <x v="8"/>
    <x v="4"/>
  </r>
  <r>
    <x v="0"/>
    <x v="1"/>
    <x v="61"/>
    <x v="32"/>
    <x v="151"/>
    <x v="45"/>
    <x v="4"/>
    <x v="0"/>
    <x v="3"/>
    <x v="8"/>
    <x v="13"/>
    <x v="15"/>
    <x v="15"/>
    <x v="22"/>
    <x v="11"/>
    <x v="4"/>
    <x v="8"/>
    <x v="4"/>
  </r>
  <r>
    <x v="0"/>
    <x v="1"/>
    <x v="61"/>
    <x v="32"/>
    <x v="25"/>
    <x v="49"/>
    <x v="4"/>
    <x v="0"/>
    <x v="3"/>
    <x v="8"/>
    <x v="13"/>
    <x v="15"/>
    <x v="15"/>
    <x v="22"/>
    <x v="11"/>
    <x v="4"/>
    <x v="8"/>
    <x v="4"/>
  </r>
  <r>
    <x v="0"/>
    <x v="1"/>
    <x v="61"/>
    <x v="32"/>
    <x v="108"/>
    <x v="55"/>
    <x v="8"/>
    <x v="0"/>
    <x v="3"/>
    <x v="8"/>
    <x v="13"/>
    <x v="15"/>
    <x v="15"/>
    <x v="22"/>
    <x v="11"/>
    <x v="4"/>
    <x v="8"/>
    <x v="4"/>
  </r>
  <r>
    <x v="0"/>
    <x v="1"/>
    <x v="62"/>
    <x v="54"/>
    <x v="88"/>
    <x v="24"/>
    <x v="1"/>
    <x v="0"/>
    <x v="3"/>
    <x v="8"/>
    <x v="13"/>
    <x v="15"/>
    <x v="15"/>
    <x v="22"/>
    <x v="11"/>
    <x v="34"/>
    <x v="8"/>
    <x v="6"/>
  </r>
  <r>
    <x v="0"/>
    <x v="1"/>
    <x v="62"/>
    <x v="54"/>
    <x v="143"/>
    <x v="40"/>
    <x v="4"/>
    <x v="0"/>
    <x v="3"/>
    <x v="8"/>
    <x v="13"/>
    <x v="15"/>
    <x v="15"/>
    <x v="22"/>
    <x v="11"/>
    <x v="4"/>
    <x v="8"/>
    <x v="4"/>
  </r>
  <r>
    <x v="0"/>
    <x v="1"/>
    <x v="62"/>
    <x v="54"/>
    <x v="151"/>
    <x v="45"/>
    <x v="4"/>
    <x v="0"/>
    <x v="3"/>
    <x v="8"/>
    <x v="13"/>
    <x v="15"/>
    <x v="15"/>
    <x v="22"/>
    <x v="11"/>
    <x v="4"/>
    <x v="8"/>
    <x v="4"/>
  </r>
  <r>
    <x v="0"/>
    <x v="1"/>
    <x v="62"/>
    <x v="54"/>
    <x v="25"/>
    <x v="49"/>
    <x v="4"/>
    <x v="0"/>
    <x v="3"/>
    <x v="8"/>
    <x v="13"/>
    <x v="15"/>
    <x v="15"/>
    <x v="22"/>
    <x v="11"/>
    <x v="4"/>
    <x v="8"/>
    <x v="4"/>
  </r>
  <r>
    <x v="0"/>
    <x v="1"/>
    <x v="62"/>
    <x v="54"/>
    <x v="108"/>
    <x v="55"/>
    <x v="8"/>
    <x v="0"/>
    <x v="3"/>
    <x v="8"/>
    <x v="13"/>
    <x v="15"/>
    <x v="15"/>
    <x v="22"/>
    <x v="11"/>
    <x v="24"/>
    <x v="8"/>
    <x v="6"/>
  </r>
  <r>
    <x v="0"/>
    <x v="1"/>
    <x v="63"/>
    <x v="54"/>
    <x v="37"/>
    <x v="32"/>
    <x v="1"/>
    <x v="0"/>
    <x v="3"/>
    <x v="8"/>
    <x v="13"/>
    <x v="15"/>
    <x v="15"/>
    <x v="22"/>
    <x v="11"/>
    <x v="4"/>
    <x v="8"/>
    <x v="4"/>
  </r>
  <r>
    <x v="0"/>
    <x v="3"/>
    <x v="0"/>
    <x v="19"/>
    <x v="204"/>
    <x v="34"/>
    <x v="3"/>
    <x v="0"/>
    <x v="0"/>
    <x v="5"/>
    <x v="13"/>
    <x v="15"/>
    <x v="15"/>
    <x v="22"/>
    <x v="23"/>
    <x v="47"/>
    <x v="11"/>
    <x v="6"/>
  </r>
  <r>
    <x v="0"/>
    <x v="3"/>
    <x v="0"/>
    <x v="19"/>
    <x v="204"/>
    <x v="34"/>
    <x v="3"/>
    <x v="0"/>
    <x v="3"/>
    <x v="8"/>
    <x v="13"/>
    <x v="15"/>
    <x v="15"/>
    <x v="22"/>
    <x v="10"/>
    <x v="22"/>
    <x v="11"/>
    <x v="6"/>
  </r>
  <r>
    <x v="0"/>
    <x v="3"/>
    <x v="0"/>
    <x v="19"/>
    <x v="181"/>
    <x v="35"/>
    <x v="3"/>
    <x v="0"/>
    <x v="3"/>
    <x v="8"/>
    <x v="13"/>
    <x v="15"/>
    <x v="15"/>
    <x v="22"/>
    <x v="10"/>
    <x v="22"/>
    <x v="11"/>
    <x v="6"/>
  </r>
  <r>
    <x v="0"/>
    <x v="3"/>
    <x v="1"/>
    <x v="79"/>
    <x v="203"/>
    <x v="15"/>
    <x v="11"/>
    <x v="0"/>
    <x v="3"/>
    <x v="8"/>
    <x v="13"/>
    <x v="15"/>
    <x v="15"/>
    <x v="22"/>
    <x v="0"/>
    <x v="33"/>
    <x v="11"/>
    <x v="6"/>
  </r>
  <r>
    <x v="0"/>
    <x v="3"/>
    <x v="2"/>
    <x v="81"/>
    <x v="8"/>
    <x v="21"/>
    <x v="1"/>
    <x v="0"/>
    <x v="3"/>
    <x v="8"/>
    <x v="13"/>
    <x v="15"/>
    <x v="15"/>
    <x v="22"/>
    <x v="13"/>
    <x v="25"/>
    <x v="7"/>
    <x v="6"/>
  </r>
  <r>
    <x v="0"/>
    <x v="3"/>
    <x v="3"/>
    <x v="82"/>
    <x v="204"/>
    <x v="31"/>
    <x v="1"/>
    <x v="0"/>
    <x v="3"/>
    <x v="0"/>
    <x v="7"/>
    <x v="11"/>
    <x v="11"/>
    <x v="20"/>
    <x v="13"/>
    <x v="25"/>
    <x v="7"/>
    <x v="6"/>
  </r>
  <r>
    <x v="0"/>
    <x v="3"/>
    <x v="11"/>
    <x v="19"/>
    <x v="106"/>
    <x v="4"/>
    <x v="0"/>
    <x v="0"/>
    <x v="3"/>
    <x v="1"/>
    <x v="4"/>
    <x v="6"/>
    <x v="10"/>
    <x v="1"/>
    <x v="10"/>
    <x v="37"/>
    <x v="11"/>
    <x v="5"/>
  </r>
  <r>
    <x v="0"/>
    <x v="3"/>
    <x v="11"/>
    <x v="19"/>
    <x v="180"/>
    <x v="4"/>
    <x v="0"/>
    <x v="0"/>
    <x v="3"/>
    <x v="1"/>
    <x v="4"/>
    <x v="6"/>
    <x v="10"/>
    <x v="1"/>
    <x v="10"/>
    <x v="37"/>
    <x v="11"/>
    <x v="5"/>
  </r>
  <r>
    <x v="0"/>
    <x v="3"/>
    <x v="22"/>
    <x v="86"/>
    <x v="204"/>
    <x v="16"/>
    <x v="2"/>
    <x v="0"/>
    <x v="3"/>
    <x v="8"/>
    <x v="13"/>
    <x v="15"/>
    <x v="15"/>
    <x v="22"/>
    <x v="23"/>
    <x v="47"/>
    <x v="11"/>
    <x v="6"/>
  </r>
  <r>
    <x v="0"/>
    <x v="3"/>
    <x v="33"/>
    <x v="80"/>
    <x v="204"/>
    <x v="16"/>
    <x v="2"/>
    <x v="0"/>
    <x v="3"/>
    <x v="8"/>
    <x v="13"/>
    <x v="15"/>
    <x v="15"/>
    <x v="22"/>
    <x v="23"/>
    <x v="47"/>
    <x v="11"/>
    <x v="6"/>
  </r>
  <r>
    <x v="0"/>
    <x v="3"/>
    <x v="55"/>
    <x v="86"/>
    <x v="35"/>
    <x v="33"/>
    <x v="1"/>
    <x v="0"/>
    <x v="3"/>
    <x v="8"/>
    <x v="13"/>
    <x v="15"/>
    <x v="15"/>
    <x v="22"/>
    <x v="6"/>
    <x v="29"/>
    <x v="1"/>
    <x v="6"/>
  </r>
  <r>
    <x v="0"/>
    <x v="3"/>
    <x v="61"/>
    <x v="81"/>
    <x v="8"/>
    <x v="21"/>
    <x v="1"/>
    <x v="0"/>
    <x v="3"/>
    <x v="8"/>
    <x v="13"/>
    <x v="15"/>
    <x v="15"/>
    <x v="22"/>
    <x v="13"/>
    <x v="25"/>
    <x v="7"/>
    <x v="6"/>
  </r>
  <r>
    <x v="0"/>
    <x v="4"/>
    <x v="0"/>
    <x v="19"/>
    <x v="204"/>
    <x v="34"/>
    <x v="3"/>
    <x v="0"/>
    <x v="3"/>
    <x v="8"/>
    <x v="13"/>
    <x v="15"/>
    <x v="15"/>
    <x v="22"/>
    <x v="10"/>
    <x v="37"/>
    <x v="11"/>
    <x v="6"/>
  </r>
  <r>
    <x v="0"/>
    <x v="4"/>
    <x v="0"/>
    <x v="19"/>
    <x v="204"/>
    <x v="34"/>
    <x v="3"/>
    <x v="0"/>
    <x v="3"/>
    <x v="8"/>
    <x v="13"/>
    <x v="15"/>
    <x v="15"/>
    <x v="22"/>
    <x v="10"/>
    <x v="22"/>
    <x v="11"/>
    <x v="6"/>
  </r>
  <r>
    <x v="0"/>
    <x v="4"/>
    <x v="0"/>
    <x v="19"/>
    <x v="181"/>
    <x v="35"/>
    <x v="3"/>
    <x v="0"/>
    <x v="3"/>
    <x v="8"/>
    <x v="13"/>
    <x v="15"/>
    <x v="15"/>
    <x v="22"/>
    <x v="10"/>
    <x v="37"/>
    <x v="11"/>
    <x v="6"/>
  </r>
  <r>
    <x v="0"/>
    <x v="4"/>
    <x v="0"/>
    <x v="19"/>
    <x v="181"/>
    <x v="35"/>
    <x v="3"/>
    <x v="0"/>
    <x v="3"/>
    <x v="8"/>
    <x v="13"/>
    <x v="15"/>
    <x v="15"/>
    <x v="22"/>
    <x v="10"/>
    <x v="22"/>
    <x v="11"/>
    <x v="6"/>
  </r>
  <r>
    <x v="0"/>
    <x v="4"/>
    <x v="1"/>
    <x v="22"/>
    <x v="78"/>
    <x v="27"/>
    <x v="1"/>
    <x v="0"/>
    <x v="3"/>
    <x v="8"/>
    <x v="13"/>
    <x v="15"/>
    <x v="15"/>
    <x v="2"/>
    <x v="7"/>
    <x v="14"/>
    <x v="11"/>
    <x v="6"/>
  </r>
  <r>
    <x v="0"/>
    <x v="4"/>
    <x v="2"/>
    <x v="22"/>
    <x v="178"/>
    <x v="18"/>
    <x v="7"/>
    <x v="0"/>
    <x v="3"/>
    <x v="8"/>
    <x v="13"/>
    <x v="15"/>
    <x v="15"/>
    <x v="22"/>
    <x v="23"/>
    <x v="47"/>
    <x v="11"/>
    <x v="6"/>
  </r>
  <r>
    <x v="0"/>
    <x v="4"/>
    <x v="3"/>
    <x v="0"/>
    <x v="6"/>
    <x v="1"/>
    <x v="0"/>
    <x v="0"/>
    <x v="3"/>
    <x v="1"/>
    <x v="6"/>
    <x v="0"/>
    <x v="12"/>
    <x v="3"/>
    <x v="23"/>
    <x v="47"/>
    <x v="11"/>
    <x v="6"/>
  </r>
  <r>
    <x v="0"/>
    <x v="4"/>
    <x v="3"/>
    <x v="0"/>
    <x v="7"/>
    <x v="1"/>
    <x v="0"/>
    <x v="0"/>
    <x v="3"/>
    <x v="1"/>
    <x v="6"/>
    <x v="0"/>
    <x v="12"/>
    <x v="3"/>
    <x v="23"/>
    <x v="47"/>
    <x v="11"/>
    <x v="6"/>
  </r>
  <r>
    <x v="0"/>
    <x v="4"/>
    <x v="3"/>
    <x v="0"/>
    <x v="194"/>
    <x v="14"/>
    <x v="0"/>
    <x v="0"/>
    <x v="3"/>
    <x v="1"/>
    <x v="6"/>
    <x v="0"/>
    <x v="12"/>
    <x v="3"/>
    <x v="12"/>
    <x v="2"/>
    <x v="11"/>
    <x v="6"/>
  </r>
  <r>
    <x v="0"/>
    <x v="4"/>
    <x v="3"/>
    <x v="0"/>
    <x v="195"/>
    <x v="14"/>
    <x v="0"/>
    <x v="0"/>
    <x v="3"/>
    <x v="1"/>
    <x v="6"/>
    <x v="0"/>
    <x v="12"/>
    <x v="3"/>
    <x v="12"/>
    <x v="2"/>
    <x v="11"/>
    <x v="6"/>
  </r>
  <r>
    <x v="0"/>
    <x v="4"/>
    <x v="3"/>
    <x v="28"/>
    <x v="4"/>
    <x v="41"/>
    <x v="4"/>
    <x v="0"/>
    <x v="3"/>
    <x v="8"/>
    <x v="13"/>
    <x v="15"/>
    <x v="15"/>
    <x v="22"/>
    <x v="23"/>
    <x v="47"/>
    <x v="11"/>
    <x v="6"/>
  </r>
  <r>
    <x v="0"/>
    <x v="4"/>
    <x v="3"/>
    <x v="0"/>
    <x v="5"/>
    <x v="41"/>
    <x v="4"/>
    <x v="0"/>
    <x v="3"/>
    <x v="8"/>
    <x v="13"/>
    <x v="15"/>
    <x v="15"/>
    <x v="22"/>
    <x v="23"/>
    <x v="47"/>
    <x v="11"/>
    <x v="6"/>
  </r>
  <r>
    <x v="0"/>
    <x v="4"/>
    <x v="3"/>
    <x v="0"/>
    <x v="3"/>
    <x v="41"/>
    <x v="4"/>
    <x v="0"/>
    <x v="3"/>
    <x v="8"/>
    <x v="13"/>
    <x v="15"/>
    <x v="15"/>
    <x v="22"/>
    <x v="23"/>
    <x v="47"/>
    <x v="11"/>
    <x v="6"/>
  </r>
  <r>
    <x v="0"/>
    <x v="4"/>
    <x v="3"/>
    <x v="28"/>
    <x v="17"/>
    <x v="47"/>
    <x v="4"/>
    <x v="0"/>
    <x v="3"/>
    <x v="8"/>
    <x v="13"/>
    <x v="15"/>
    <x v="15"/>
    <x v="22"/>
    <x v="23"/>
    <x v="47"/>
    <x v="11"/>
    <x v="6"/>
  </r>
  <r>
    <x v="0"/>
    <x v="4"/>
    <x v="3"/>
    <x v="0"/>
    <x v="18"/>
    <x v="47"/>
    <x v="4"/>
    <x v="0"/>
    <x v="3"/>
    <x v="8"/>
    <x v="13"/>
    <x v="15"/>
    <x v="15"/>
    <x v="22"/>
    <x v="23"/>
    <x v="47"/>
    <x v="11"/>
    <x v="6"/>
  </r>
  <r>
    <x v="0"/>
    <x v="4"/>
    <x v="3"/>
    <x v="0"/>
    <x v="16"/>
    <x v="47"/>
    <x v="4"/>
    <x v="0"/>
    <x v="3"/>
    <x v="8"/>
    <x v="13"/>
    <x v="15"/>
    <x v="15"/>
    <x v="22"/>
    <x v="23"/>
    <x v="47"/>
    <x v="11"/>
    <x v="6"/>
  </r>
  <r>
    <x v="0"/>
    <x v="4"/>
    <x v="6"/>
    <x v="23"/>
    <x v="178"/>
    <x v="18"/>
    <x v="7"/>
    <x v="0"/>
    <x v="3"/>
    <x v="8"/>
    <x v="13"/>
    <x v="15"/>
    <x v="15"/>
    <x v="22"/>
    <x v="23"/>
    <x v="47"/>
    <x v="11"/>
    <x v="6"/>
  </r>
  <r>
    <x v="0"/>
    <x v="4"/>
    <x v="7"/>
    <x v="19"/>
    <x v="204"/>
    <x v="34"/>
    <x v="3"/>
    <x v="0"/>
    <x v="0"/>
    <x v="5"/>
    <x v="13"/>
    <x v="15"/>
    <x v="15"/>
    <x v="22"/>
    <x v="23"/>
    <x v="47"/>
    <x v="11"/>
    <x v="6"/>
  </r>
  <r>
    <x v="0"/>
    <x v="4"/>
    <x v="7"/>
    <x v="19"/>
    <x v="204"/>
    <x v="34"/>
    <x v="3"/>
    <x v="0"/>
    <x v="3"/>
    <x v="8"/>
    <x v="13"/>
    <x v="15"/>
    <x v="15"/>
    <x v="22"/>
    <x v="10"/>
    <x v="22"/>
    <x v="11"/>
    <x v="6"/>
  </r>
  <r>
    <x v="0"/>
    <x v="4"/>
    <x v="7"/>
    <x v="19"/>
    <x v="181"/>
    <x v="35"/>
    <x v="3"/>
    <x v="0"/>
    <x v="3"/>
    <x v="8"/>
    <x v="13"/>
    <x v="15"/>
    <x v="15"/>
    <x v="22"/>
    <x v="10"/>
    <x v="22"/>
    <x v="11"/>
    <x v="6"/>
  </r>
  <r>
    <x v="0"/>
    <x v="4"/>
    <x v="8"/>
    <x v="19"/>
    <x v="106"/>
    <x v="4"/>
    <x v="0"/>
    <x v="0"/>
    <x v="3"/>
    <x v="1"/>
    <x v="4"/>
    <x v="6"/>
    <x v="10"/>
    <x v="1"/>
    <x v="10"/>
    <x v="37"/>
    <x v="11"/>
    <x v="5"/>
  </r>
  <r>
    <x v="0"/>
    <x v="4"/>
    <x v="8"/>
    <x v="19"/>
    <x v="180"/>
    <x v="4"/>
    <x v="0"/>
    <x v="0"/>
    <x v="3"/>
    <x v="1"/>
    <x v="4"/>
    <x v="6"/>
    <x v="10"/>
    <x v="1"/>
    <x v="10"/>
    <x v="37"/>
    <x v="11"/>
    <x v="5"/>
  </r>
  <r>
    <x v="0"/>
    <x v="4"/>
    <x v="10"/>
    <x v="19"/>
    <x v="204"/>
    <x v="34"/>
    <x v="3"/>
    <x v="0"/>
    <x v="0"/>
    <x v="5"/>
    <x v="13"/>
    <x v="15"/>
    <x v="15"/>
    <x v="22"/>
    <x v="23"/>
    <x v="47"/>
    <x v="11"/>
    <x v="6"/>
  </r>
  <r>
    <x v="0"/>
    <x v="4"/>
    <x v="10"/>
    <x v="19"/>
    <x v="204"/>
    <x v="34"/>
    <x v="3"/>
    <x v="0"/>
    <x v="3"/>
    <x v="8"/>
    <x v="13"/>
    <x v="15"/>
    <x v="15"/>
    <x v="22"/>
    <x v="10"/>
    <x v="22"/>
    <x v="11"/>
    <x v="6"/>
  </r>
  <r>
    <x v="0"/>
    <x v="4"/>
    <x v="10"/>
    <x v="19"/>
    <x v="181"/>
    <x v="35"/>
    <x v="3"/>
    <x v="0"/>
    <x v="3"/>
    <x v="8"/>
    <x v="13"/>
    <x v="15"/>
    <x v="15"/>
    <x v="22"/>
    <x v="10"/>
    <x v="22"/>
    <x v="11"/>
    <x v="6"/>
  </r>
  <r>
    <x v="0"/>
    <x v="4"/>
    <x v="11"/>
    <x v="19"/>
    <x v="106"/>
    <x v="4"/>
    <x v="0"/>
    <x v="0"/>
    <x v="3"/>
    <x v="1"/>
    <x v="4"/>
    <x v="6"/>
    <x v="10"/>
    <x v="1"/>
    <x v="10"/>
    <x v="37"/>
    <x v="11"/>
    <x v="5"/>
  </r>
  <r>
    <x v="0"/>
    <x v="4"/>
    <x v="11"/>
    <x v="19"/>
    <x v="180"/>
    <x v="4"/>
    <x v="0"/>
    <x v="0"/>
    <x v="3"/>
    <x v="1"/>
    <x v="4"/>
    <x v="6"/>
    <x v="10"/>
    <x v="1"/>
    <x v="10"/>
    <x v="37"/>
    <x v="11"/>
    <x v="5"/>
  </r>
  <r>
    <x v="0"/>
    <x v="4"/>
    <x v="12"/>
    <x v="19"/>
    <x v="106"/>
    <x v="4"/>
    <x v="0"/>
    <x v="0"/>
    <x v="3"/>
    <x v="1"/>
    <x v="4"/>
    <x v="6"/>
    <x v="10"/>
    <x v="1"/>
    <x v="10"/>
    <x v="37"/>
    <x v="11"/>
    <x v="5"/>
  </r>
  <r>
    <x v="0"/>
    <x v="4"/>
    <x v="12"/>
    <x v="19"/>
    <x v="180"/>
    <x v="4"/>
    <x v="0"/>
    <x v="0"/>
    <x v="3"/>
    <x v="1"/>
    <x v="4"/>
    <x v="6"/>
    <x v="10"/>
    <x v="1"/>
    <x v="10"/>
    <x v="37"/>
    <x v="11"/>
    <x v="5"/>
  </r>
  <r>
    <x v="0"/>
    <x v="4"/>
    <x v="13"/>
    <x v="18"/>
    <x v="196"/>
    <x v="41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41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41"/>
    <x v="4"/>
    <x v="0"/>
    <x v="3"/>
    <x v="8"/>
    <x v="13"/>
    <x v="15"/>
    <x v="15"/>
    <x v="22"/>
    <x v="23"/>
    <x v="47"/>
    <x v="11"/>
    <x v="6"/>
  </r>
  <r>
    <x v="0"/>
    <x v="4"/>
    <x v="13"/>
    <x v="18"/>
    <x v="196"/>
    <x v="47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47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47"/>
    <x v="4"/>
    <x v="0"/>
    <x v="3"/>
    <x v="8"/>
    <x v="13"/>
    <x v="15"/>
    <x v="15"/>
    <x v="22"/>
    <x v="23"/>
    <x v="47"/>
    <x v="11"/>
    <x v="6"/>
  </r>
  <r>
    <x v="0"/>
    <x v="4"/>
    <x v="13"/>
    <x v="18"/>
    <x v="196"/>
    <x v="50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50"/>
    <x v="4"/>
    <x v="0"/>
    <x v="3"/>
    <x v="8"/>
    <x v="13"/>
    <x v="15"/>
    <x v="15"/>
    <x v="22"/>
    <x v="23"/>
    <x v="47"/>
    <x v="11"/>
    <x v="6"/>
  </r>
  <r>
    <x v="0"/>
    <x v="4"/>
    <x v="13"/>
    <x v="21"/>
    <x v="200"/>
    <x v="50"/>
    <x v="4"/>
    <x v="0"/>
    <x v="3"/>
    <x v="8"/>
    <x v="13"/>
    <x v="15"/>
    <x v="15"/>
    <x v="22"/>
    <x v="23"/>
    <x v="47"/>
    <x v="11"/>
    <x v="6"/>
  </r>
  <r>
    <x v="0"/>
    <x v="4"/>
    <x v="13"/>
    <x v="18"/>
    <x v="196"/>
    <x v="56"/>
    <x v="8"/>
    <x v="0"/>
    <x v="3"/>
    <x v="8"/>
    <x v="13"/>
    <x v="15"/>
    <x v="15"/>
    <x v="22"/>
    <x v="23"/>
    <x v="47"/>
    <x v="11"/>
    <x v="6"/>
  </r>
  <r>
    <x v="0"/>
    <x v="4"/>
    <x v="14"/>
    <x v="18"/>
    <x v="197"/>
    <x v="41"/>
    <x v="4"/>
    <x v="0"/>
    <x v="3"/>
    <x v="8"/>
    <x v="13"/>
    <x v="15"/>
    <x v="15"/>
    <x v="22"/>
    <x v="23"/>
    <x v="47"/>
    <x v="11"/>
    <x v="6"/>
  </r>
  <r>
    <x v="0"/>
    <x v="4"/>
    <x v="14"/>
    <x v="21"/>
    <x v="201"/>
    <x v="41"/>
    <x v="4"/>
    <x v="0"/>
    <x v="3"/>
    <x v="8"/>
    <x v="13"/>
    <x v="15"/>
    <x v="15"/>
    <x v="22"/>
    <x v="23"/>
    <x v="47"/>
    <x v="11"/>
    <x v="6"/>
  </r>
  <r>
    <x v="0"/>
    <x v="4"/>
    <x v="14"/>
    <x v="18"/>
    <x v="197"/>
    <x v="47"/>
    <x v="4"/>
    <x v="0"/>
    <x v="3"/>
    <x v="8"/>
    <x v="13"/>
    <x v="15"/>
    <x v="15"/>
    <x v="22"/>
    <x v="23"/>
    <x v="47"/>
    <x v="11"/>
    <x v="6"/>
  </r>
  <r>
    <x v="0"/>
    <x v="4"/>
    <x v="14"/>
    <x v="21"/>
    <x v="201"/>
    <x v="47"/>
    <x v="4"/>
    <x v="0"/>
    <x v="3"/>
    <x v="8"/>
    <x v="13"/>
    <x v="15"/>
    <x v="15"/>
    <x v="22"/>
    <x v="23"/>
    <x v="47"/>
    <x v="11"/>
    <x v="6"/>
  </r>
  <r>
    <x v="0"/>
    <x v="4"/>
    <x v="14"/>
    <x v="18"/>
    <x v="197"/>
    <x v="50"/>
    <x v="4"/>
    <x v="0"/>
    <x v="3"/>
    <x v="8"/>
    <x v="13"/>
    <x v="15"/>
    <x v="15"/>
    <x v="22"/>
    <x v="23"/>
    <x v="47"/>
    <x v="11"/>
    <x v="6"/>
  </r>
  <r>
    <x v="0"/>
    <x v="4"/>
    <x v="14"/>
    <x v="21"/>
    <x v="201"/>
    <x v="50"/>
    <x v="4"/>
    <x v="0"/>
    <x v="3"/>
    <x v="8"/>
    <x v="13"/>
    <x v="15"/>
    <x v="15"/>
    <x v="22"/>
    <x v="23"/>
    <x v="47"/>
    <x v="11"/>
    <x v="6"/>
  </r>
  <r>
    <x v="0"/>
    <x v="4"/>
    <x v="14"/>
    <x v="18"/>
    <x v="197"/>
    <x v="56"/>
    <x v="8"/>
    <x v="0"/>
    <x v="3"/>
    <x v="8"/>
    <x v="13"/>
    <x v="15"/>
    <x v="15"/>
    <x v="22"/>
    <x v="23"/>
    <x v="47"/>
    <x v="11"/>
    <x v="6"/>
  </r>
  <r>
    <x v="0"/>
    <x v="4"/>
    <x v="15"/>
    <x v="18"/>
    <x v="199"/>
    <x v="41"/>
    <x v="4"/>
    <x v="0"/>
    <x v="3"/>
    <x v="8"/>
    <x v="13"/>
    <x v="15"/>
    <x v="15"/>
    <x v="22"/>
    <x v="23"/>
    <x v="47"/>
    <x v="11"/>
    <x v="6"/>
  </r>
  <r>
    <x v="0"/>
    <x v="4"/>
    <x v="15"/>
    <x v="18"/>
    <x v="199"/>
    <x v="47"/>
    <x v="4"/>
    <x v="0"/>
    <x v="3"/>
    <x v="8"/>
    <x v="13"/>
    <x v="15"/>
    <x v="15"/>
    <x v="22"/>
    <x v="23"/>
    <x v="47"/>
    <x v="11"/>
    <x v="6"/>
  </r>
  <r>
    <x v="0"/>
    <x v="4"/>
    <x v="15"/>
    <x v="18"/>
    <x v="199"/>
    <x v="50"/>
    <x v="4"/>
    <x v="0"/>
    <x v="3"/>
    <x v="8"/>
    <x v="13"/>
    <x v="15"/>
    <x v="15"/>
    <x v="22"/>
    <x v="23"/>
    <x v="47"/>
    <x v="11"/>
    <x v="6"/>
  </r>
  <r>
    <x v="0"/>
    <x v="4"/>
    <x v="15"/>
    <x v="18"/>
    <x v="199"/>
    <x v="56"/>
    <x v="8"/>
    <x v="0"/>
    <x v="3"/>
    <x v="8"/>
    <x v="13"/>
    <x v="15"/>
    <x v="15"/>
    <x v="22"/>
    <x v="23"/>
    <x v="47"/>
    <x v="11"/>
    <x v="6"/>
  </r>
  <r>
    <x v="0"/>
    <x v="4"/>
    <x v="16"/>
    <x v="18"/>
    <x v="198"/>
    <x v="41"/>
    <x v="4"/>
    <x v="0"/>
    <x v="3"/>
    <x v="8"/>
    <x v="13"/>
    <x v="15"/>
    <x v="15"/>
    <x v="22"/>
    <x v="23"/>
    <x v="47"/>
    <x v="11"/>
    <x v="6"/>
  </r>
  <r>
    <x v="0"/>
    <x v="4"/>
    <x v="16"/>
    <x v="18"/>
    <x v="198"/>
    <x v="47"/>
    <x v="4"/>
    <x v="0"/>
    <x v="3"/>
    <x v="8"/>
    <x v="13"/>
    <x v="15"/>
    <x v="15"/>
    <x v="22"/>
    <x v="23"/>
    <x v="47"/>
    <x v="11"/>
    <x v="6"/>
  </r>
  <r>
    <x v="0"/>
    <x v="4"/>
    <x v="16"/>
    <x v="18"/>
    <x v="198"/>
    <x v="50"/>
    <x v="4"/>
    <x v="0"/>
    <x v="3"/>
    <x v="8"/>
    <x v="13"/>
    <x v="15"/>
    <x v="15"/>
    <x v="22"/>
    <x v="23"/>
    <x v="47"/>
    <x v="11"/>
    <x v="6"/>
  </r>
  <r>
    <x v="0"/>
    <x v="4"/>
    <x v="16"/>
    <x v="18"/>
    <x v="198"/>
    <x v="56"/>
    <x v="8"/>
    <x v="0"/>
    <x v="3"/>
    <x v="8"/>
    <x v="13"/>
    <x v="15"/>
    <x v="15"/>
    <x v="22"/>
    <x v="23"/>
    <x v="47"/>
    <x v="11"/>
    <x v="6"/>
  </r>
  <r>
    <x v="0"/>
    <x v="4"/>
    <x v="17"/>
    <x v="74"/>
    <x v="64"/>
    <x v="41"/>
    <x v="4"/>
    <x v="0"/>
    <x v="3"/>
    <x v="8"/>
    <x v="13"/>
    <x v="15"/>
    <x v="15"/>
    <x v="22"/>
    <x v="23"/>
    <x v="47"/>
    <x v="11"/>
    <x v="6"/>
  </r>
  <r>
    <x v="0"/>
    <x v="4"/>
    <x v="17"/>
    <x v="74"/>
    <x v="66"/>
    <x v="41"/>
    <x v="4"/>
    <x v="0"/>
    <x v="3"/>
    <x v="8"/>
    <x v="13"/>
    <x v="15"/>
    <x v="15"/>
    <x v="22"/>
    <x v="23"/>
    <x v="47"/>
    <x v="11"/>
    <x v="6"/>
  </r>
  <r>
    <x v="0"/>
    <x v="4"/>
    <x v="17"/>
    <x v="74"/>
    <x v="68"/>
    <x v="41"/>
    <x v="4"/>
    <x v="0"/>
    <x v="3"/>
    <x v="8"/>
    <x v="13"/>
    <x v="15"/>
    <x v="15"/>
    <x v="22"/>
    <x v="23"/>
    <x v="47"/>
    <x v="11"/>
    <x v="6"/>
  </r>
  <r>
    <x v="0"/>
    <x v="4"/>
    <x v="17"/>
    <x v="74"/>
    <x v="70"/>
    <x v="41"/>
    <x v="4"/>
    <x v="0"/>
    <x v="3"/>
    <x v="8"/>
    <x v="13"/>
    <x v="15"/>
    <x v="15"/>
    <x v="22"/>
    <x v="23"/>
    <x v="47"/>
    <x v="11"/>
    <x v="6"/>
  </r>
  <r>
    <x v="0"/>
    <x v="4"/>
    <x v="17"/>
    <x v="74"/>
    <x v="72"/>
    <x v="41"/>
    <x v="4"/>
    <x v="0"/>
    <x v="3"/>
    <x v="8"/>
    <x v="13"/>
    <x v="15"/>
    <x v="15"/>
    <x v="22"/>
    <x v="23"/>
    <x v="47"/>
    <x v="11"/>
    <x v="6"/>
  </r>
  <r>
    <x v="0"/>
    <x v="4"/>
    <x v="17"/>
    <x v="74"/>
    <x v="63"/>
    <x v="49"/>
    <x v="4"/>
    <x v="0"/>
    <x v="3"/>
    <x v="8"/>
    <x v="13"/>
    <x v="15"/>
    <x v="15"/>
    <x v="22"/>
    <x v="23"/>
    <x v="47"/>
    <x v="11"/>
    <x v="6"/>
  </r>
  <r>
    <x v="0"/>
    <x v="4"/>
    <x v="17"/>
    <x v="74"/>
    <x v="65"/>
    <x v="49"/>
    <x v="4"/>
    <x v="0"/>
    <x v="3"/>
    <x v="8"/>
    <x v="13"/>
    <x v="15"/>
    <x v="15"/>
    <x v="22"/>
    <x v="23"/>
    <x v="47"/>
    <x v="11"/>
    <x v="6"/>
  </r>
  <r>
    <x v="0"/>
    <x v="4"/>
    <x v="17"/>
    <x v="74"/>
    <x v="67"/>
    <x v="49"/>
    <x v="4"/>
    <x v="0"/>
    <x v="3"/>
    <x v="8"/>
    <x v="13"/>
    <x v="15"/>
    <x v="15"/>
    <x v="22"/>
    <x v="23"/>
    <x v="47"/>
    <x v="11"/>
    <x v="6"/>
  </r>
  <r>
    <x v="0"/>
    <x v="4"/>
    <x v="17"/>
    <x v="74"/>
    <x v="69"/>
    <x v="49"/>
    <x v="4"/>
    <x v="0"/>
    <x v="3"/>
    <x v="8"/>
    <x v="13"/>
    <x v="15"/>
    <x v="15"/>
    <x v="22"/>
    <x v="23"/>
    <x v="47"/>
    <x v="11"/>
    <x v="6"/>
  </r>
  <r>
    <x v="0"/>
    <x v="4"/>
    <x v="17"/>
    <x v="74"/>
    <x v="71"/>
    <x v="49"/>
    <x v="4"/>
    <x v="0"/>
    <x v="3"/>
    <x v="8"/>
    <x v="13"/>
    <x v="15"/>
    <x v="15"/>
    <x v="22"/>
    <x v="23"/>
    <x v="47"/>
    <x v="11"/>
    <x v="6"/>
  </r>
  <r>
    <x v="0"/>
    <x v="4"/>
    <x v="19"/>
    <x v="83"/>
    <x v="204"/>
    <x v="31"/>
    <x v="1"/>
    <x v="0"/>
    <x v="3"/>
    <x v="8"/>
    <x v="13"/>
    <x v="15"/>
    <x v="15"/>
    <x v="22"/>
    <x v="13"/>
    <x v="25"/>
    <x v="7"/>
    <x v="6"/>
  </r>
  <r>
    <x v="0"/>
    <x v="4"/>
    <x v="44"/>
    <x v="74"/>
    <x v="10"/>
    <x v="0"/>
    <x v="0"/>
    <x v="0"/>
    <x v="3"/>
    <x v="1"/>
    <x v="9"/>
    <x v="0"/>
    <x v="0"/>
    <x v="5"/>
    <x v="23"/>
    <x v="47"/>
    <x v="11"/>
    <x v="6"/>
  </r>
  <r>
    <x v="0"/>
    <x v="4"/>
    <x v="44"/>
    <x v="74"/>
    <x v="9"/>
    <x v="50"/>
    <x v="4"/>
    <x v="0"/>
    <x v="3"/>
    <x v="8"/>
    <x v="13"/>
    <x v="15"/>
    <x v="15"/>
    <x v="22"/>
    <x v="23"/>
    <x v="47"/>
    <x v="11"/>
    <x v="6"/>
  </r>
  <r>
    <x v="0"/>
    <x v="4"/>
    <x v="55"/>
    <x v="74"/>
    <x v="42"/>
    <x v="38"/>
    <x v="4"/>
    <x v="0"/>
    <x v="3"/>
    <x v="8"/>
    <x v="13"/>
    <x v="15"/>
    <x v="15"/>
    <x v="22"/>
    <x v="23"/>
    <x v="47"/>
    <x v="11"/>
    <x v="6"/>
  </r>
  <r>
    <x v="0"/>
    <x v="4"/>
    <x v="61"/>
    <x v="64"/>
    <x v="73"/>
    <x v="54"/>
    <x v="8"/>
    <x v="0"/>
    <x v="3"/>
    <x v="8"/>
    <x v="13"/>
    <x v="15"/>
    <x v="15"/>
    <x v="22"/>
    <x v="23"/>
    <x v="0"/>
    <x v="11"/>
    <x v="6"/>
  </r>
  <r>
    <x v="0"/>
    <x v="4"/>
    <x v="61"/>
    <x v="64"/>
    <x v="144"/>
    <x v="51"/>
    <x v="8"/>
    <x v="0"/>
    <x v="3"/>
    <x v="8"/>
    <x v="13"/>
    <x v="15"/>
    <x v="15"/>
    <x v="22"/>
    <x v="23"/>
    <x v="47"/>
    <x v="11"/>
    <x v="6"/>
  </r>
  <r>
    <x v="0"/>
    <x v="4"/>
    <x v="62"/>
    <x v="68"/>
    <x v="39"/>
    <x v="25"/>
    <x v="1"/>
    <x v="0"/>
    <x v="3"/>
    <x v="8"/>
    <x v="13"/>
    <x v="15"/>
    <x v="15"/>
    <x v="22"/>
    <x v="23"/>
    <x v="0"/>
    <x v="11"/>
    <x v="6"/>
  </r>
  <r>
    <x v="0"/>
    <x v="4"/>
    <x v="62"/>
    <x v="68"/>
    <x v="40"/>
    <x v="25"/>
    <x v="1"/>
    <x v="0"/>
    <x v="3"/>
    <x v="8"/>
    <x v="13"/>
    <x v="15"/>
    <x v="15"/>
    <x v="22"/>
    <x v="23"/>
    <x v="47"/>
    <x v="11"/>
    <x v="6"/>
  </r>
  <r>
    <x v="0"/>
    <x v="4"/>
    <x v="63"/>
    <x v="19"/>
    <x v="106"/>
    <x v="4"/>
    <x v="0"/>
    <x v="0"/>
    <x v="3"/>
    <x v="1"/>
    <x v="4"/>
    <x v="6"/>
    <x v="10"/>
    <x v="1"/>
    <x v="10"/>
    <x v="37"/>
    <x v="11"/>
    <x v="5"/>
  </r>
  <r>
    <x v="0"/>
    <x v="4"/>
    <x v="63"/>
    <x v="19"/>
    <x v="180"/>
    <x v="4"/>
    <x v="0"/>
    <x v="0"/>
    <x v="3"/>
    <x v="1"/>
    <x v="4"/>
    <x v="6"/>
    <x v="10"/>
    <x v="1"/>
    <x v="10"/>
    <x v="37"/>
    <x v="11"/>
    <x v="5"/>
  </r>
  <r>
    <x v="0"/>
    <x v="4"/>
    <x v="63"/>
    <x v="19"/>
    <x v="204"/>
    <x v="34"/>
    <x v="3"/>
    <x v="0"/>
    <x v="0"/>
    <x v="7"/>
    <x v="13"/>
    <x v="15"/>
    <x v="15"/>
    <x v="22"/>
    <x v="23"/>
    <x v="47"/>
    <x v="11"/>
    <x v="6"/>
  </r>
  <r>
    <x v="0"/>
    <x v="4"/>
    <x v="63"/>
    <x v="19"/>
    <x v="204"/>
    <x v="34"/>
    <x v="3"/>
    <x v="0"/>
    <x v="3"/>
    <x v="8"/>
    <x v="13"/>
    <x v="15"/>
    <x v="15"/>
    <x v="22"/>
    <x v="10"/>
    <x v="37"/>
    <x v="11"/>
    <x v="6"/>
  </r>
  <r>
    <x v="0"/>
    <x v="4"/>
    <x v="63"/>
    <x v="19"/>
    <x v="181"/>
    <x v="35"/>
    <x v="3"/>
    <x v="0"/>
    <x v="3"/>
    <x v="8"/>
    <x v="13"/>
    <x v="15"/>
    <x v="15"/>
    <x v="22"/>
    <x v="10"/>
    <x v="22"/>
    <x v="11"/>
    <x v="6"/>
  </r>
  <r>
    <x v="0"/>
    <x v="5"/>
    <x v="1"/>
    <x v="17"/>
    <x v="204"/>
    <x v="26"/>
    <x v="1"/>
    <x v="0"/>
    <x v="3"/>
    <x v="8"/>
    <x v="13"/>
    <x v="15"/>
    <x v="15"/>
    <x v="22"/>
    <x v="14"/>
    <x v="32"/>
    <x v="9"/>
    <x v="6"/>
  </r>
  <r>
    <x v="0"/>
    <x v="5"/>
    <x v="2"/>
    <x v="26"/>
    <x v="165"/>
    <x v="6"/>
    <x v="0"/>
    <x v="0"/>
    <x v="3"/>
    <x v="1"/>
    <x v="2"/>
    <x v="4"/>
    <x v="4"/>
    <x v="12"/>
    <x v="18"/>
    <x v="10"/>
    <x v="10"/>
    <x v="6"/>
  </r>
  <r>
    <x v="0"/>
    <x v="5"/>
    <x v="2"/>
    <x v="26"/>
    <x v="160"/>
    <x v="6"/>
    <x v="0"/>
    <x v="0"/>
    <x v="3"/>
    <x v="1"/>
    <x v="2"/>
    <x v="4"/>
    <x v="4"/>
    <x v="12"/>
    <x v="18"/>
    <x v="10"/>
    <x v="10"/>
    <x v="6"/>
  </r>
  <r>
    <x v="0"/>
    <x v="5"/>
    <x v="2"/>
    <x v="26"/>
    <x v="155"/>
    <x v="6"/>
    <x v="0"/>
    <x v="0"/>
    <x v="3"/>
    <x v="1"/>
    <x v="2"/>
    <x v="4"/>
    <x v="4"/>
    <x v="12"/>
    <x v="18"/>
    <x v="10"/>
    <x v="10"/>
    <x v="6"/>
  </r>
  <r>
    <x v="0"/>
    <x v="5"/>
    <x v="2"/>
    <x v="26"/>
    <x v="165"/>
    <x v="12"/>
    <x v="0"/>
    <x v="0"/>
    <x v="3"/>
    <x v="1"/>
    <x v="8"/>
    <x v="11"/>
    <x v="11"/>
    <x v="14"/>
    <x v="18"/>
    <x v="9"/>
    <x v="10"/>
    <x v="6"/>
  </r>
  <r>
    <x v="0"/>
    <x v="5"/>
    <x v="2"/>
    <x v="26"/>
    <x v="160"/>
    <x v="12"/>
    <x v="0"/>
    <x v="0"/>
    <x v="3"/>
    <x v="1"/>
    <x v="8"/>
    <x v="11"/>
    <x v="11"/>
    <x v="14"/>
    <x v="18"/>
    <x v="9"/>
    <x v="10"/>
    <x v="6"/>
  </r>
  <r>
    <x v="0"/>
    <x v="5"/>
    <x v="2"/>
    <x v="26"/>
    <x v="155"/>
    <x v="12"/>
    <x v="0"/>
    <x v="0"/>
    <x v="3"/>
    <x v="1"/>
    <x v="8"/>
    <x v="11"/>
    <x v="11"/>
    <x v="14"/>
    <x v="18"/>
    <x v="9"/>
    <x v="10"/>
    <x v="6"/>
  </r>
  <r>
    <x v="0"/>
    <x v="5"/>
    <x v="2"/>
    <x v="26"/>
    <x v="154"/>
    <x v="18"/>
    <x v="7"/>
    <x v="0"/>
    <x v="3"/>
    <x v="8"/>
    <x v="13"/>
    <x v="15"/>
    <x v="15"/>
    <x v="22"/>
    <x v="18"/>
    <x v="20"/>
    <x v="11"/>
    <x v="6"/>
  </r>
  <r>
    <x v="0"/>
    <x v="5"/>
    <x v="2"/>
    <x v="26"/>
    <x v="165"/>
    <x v="60"/>
    <x v="8"/>
    <x v="0"/>
    <x v="3"/>
    <x v="8"/>
    <x v="13"/>
    <x v="15"/>
    <x v="15"/>
    <x v="22"/>
    <x v="23"/>
    <x v="47"/>
    <x v="11"/>
    <x v="6"/>
  </r>
  <r>
    <x v="0"/>
    <x v="5"/>
    <x v="2"/>
    <x v="26"/>
    <x v="160"/>
    <x v="60"/>
    <x v="8"/>
    <x v="0"/>
    <x v="3"/>
    <x v="8"/>
    <x v="13"/>
    <x v="15"/>
    <x v="15"/>
    <x v="22"/>
    <x v="23"/>
    <x v="47"/>
    <x v="11"/>
    <x v="6"/>
  </r>
  <r>
    <x v="0"/>
    <x v="5"/>
    <x v="2"/>
    <x v="26"/>
    <x v="155"/>
    <x v="60"/>
    <x v="8"/>
    <x v="0"/>
    <x v="3"/>
    <x v="8"/>
    <x v="13"/>
    <x v="15"/>
    <x v="15"/>
    <x v="22"/>
    <x v="23"/>
    <x v="47"/>
    <x v="11"/>
    <x v="6"/>
  </r>
  <r>
    <x v="0"/>
    <x v="5"/>
    <x v="4"/>
    <x v="20"/>
    <x v="15"/>
    <x v="7"/>
    <x v="0"/>
    <x v="0"/>
    <x v="3"/>
    <x v="1"/>
    <x v="2"/>
    <x v="0"/>
    <x v="5"/>
    <x v="3"/>
    <x v="23"/>
    <x v="47"/>
    <x v="11"/>
    <x v="6"/>
  </r>
  <r>
    <x v="0"/>
    <x v="5"/>
    <x v="4"/>
    <x v="20"/>
    <x v="117"/>
    <x v="7"/>
    <x v="0"/>
    <x v="0"/>
    <x v="3"/>
    <x v="1"/>
    <x v="2"/>
    <x v="0"/>
    <x v="5"/>
    <x v="3"/>
    <x v="23"/>
    <x v="47"/>
    <x v="11"/>
    <x v="6"/>
  </r>
  <r>
    <x v="0"/>
    <x v="5"/>
    <x v="4"/>
    <x v="20"/>
    <x v="185"/>
    <x v="7"/>
    <x v="0"/>
    <x v="0"/>
    <x v="3"/>
    <x v="1"/>
    <x v="2"/>
    <x v="0"/>
    <x v="5"/>
    <x v="3"/>
    <x v="23"/>
    <x v="47"/>
    <x v="11"/>
    <x v="6"/>
  </r>
  <r>
    <x v="0"/>
    <x v="5"/>
    <x v="4"/>
    <x v="20"/>
    <x v="154"/>
    <x v="18"/>
    <x v="7"/>
    <x v="0"/>
    <x v="3"/>
    <x v="8"/>
    <x v="13"/>
    <x v="15"/>
    <x v="15"/>
    <x v="22"/>
    <x v="23"/>
    <x v="47"/>
    <x v="11"/>
    <x v="6"/>
  </r>
  <r>
    <x v="0"/>
    <x v="5"/>
    <x v="6"/>
    <x v="24"/>
    <x v="155"/>
    <x v="6"/>
    <x v="0"/>
    <x v="0"/>
    <x v="3"/>
    <x v="1"/>
    <x v="2"/>
    <x v="4"/>
    <x v="4"/>
    <x v="12"/>
    <x v="18"/>
    <x v="8"/>
    <x v="11"/>
    <x v="6"/>
  </r>
  <r>
    <x v="0"/>
    <x v="5"/>
    <x v="6"/>
    <x v="24"/>
    <x v="160"/>
    <x v="6"/>
    <x v="0"/>
    <x v="0"/>
    <x v="3"/>
    <x v="1"/>
    <x v="2"/>
    <x v="4"/>
    <x v="4"/>
    <x v="12"/>
    <x v="18"/>
    <x v="8"/>
    <x v="11"/>
    <x v="6"/>
  </r>
  <r>
    <x v="0"/>
    <x v="5"/>
    <x v="6"/>
    <x v="25"/>
    <x v="156"/>
    <x v="6"/>
    <x v="0"/>
    <x v="0"/>
    <x v="3"/>
    <x v="1"/>
    <x v="2"/>
    <x v="4"/>
    <x v="5"/>
    <x v="21"/>
    <x v="18"/>
    <x v="6"/>
    <x v="11"/>
    <x v="6"/>
  </r>
  <r>
    <x v="0"/>
    <x v="5"/>
    <x v="6"/>
    <x v="25"/>
    <x v="166"/>
    <x v="6"/>
    <x v="0"/>
    <x v="0"/>
    <x v="3"/>
    <x v="1"/>
    <x v="2"/>
    <x v="4"/>
    <x v="5"/>
    <x v="21"/>
    <x v="18"/>
    <x v="10"/>
    <x v="11"/>
    <x v="6"/>
  </r>
  <r>
    <x v="0"/>
    <x v="5"/>
    <x v="6"/>
    <x v="25"/>
    <x v="156"/>
    <x v="12"/>
    <x v="0"/>
    <x v="0"/>
    <x v="3"/>
    <x v="1"/>
    <x v="8"/>
    <x v="11"/>
    <x v="11"/>
    <x v="14"/>
    <x v="18"/>
    <x v="7"/>
    <x v="11"/>
    <x v="6"/>
  </r>
  <r>
    <x v="0"/>
    <x v="5"/>
    <x v="6"/>
    <x v="25"/>
    <x v="166"/>
    <x v="12"/>
    <x v="0"/>
    <x v="0"/>
    <x v="3"/>
    <x v="1"/>
    <x v="8"/>
    <x v="11"/>
    <x v="11"/>
    <x v="14"/>
    <x v="18"/>
    <x v="11"/>
    <x v="11"/>
    <x v="6"/>
  </r>
  <r>
    <x v="0"/>
    <x v="5"/>
    <x v="6"/>
    <x v="24"/>
    <x v="154"/>
    <x v="18"/>
    <x v="7"/>
    <x v="0"/>
    <x v="3"/>
    <x v="8"/>
    <x v="13"/>
    <x v="15"/>
    <x v="15"/>
    <x v="22"/>
    <x v="18"/>
    <x v="20"/>
    <x v="11"/>
    <x v="6"/>
  </r>
  <r>
    <x v="0"/>
    <x v="5"/>
    <x v="6"/>
    <x v="24"/>
    <x v="155"/>
    <x v="60"/>
    <x v="8"/>
    <x v="0"/>
    <x v="3"/>
    <x v="8"/>
    <x v="13"/>
    <x v="15"/>
    <x v="15"/>
    <x v="22"/>
    <x v="23"/>
    <x v="47"/>
    <x v="11"/>
    <x v="6"/>
  </r>
  <r>
    <x v="0"/>
    <x v="5"/>
    <x v="6"/>
    <x v="24"/>
    <x v="160"/>
    <x v="60"/>
    <x v="8"/>
    <x v="0"/>
    <x v="3"/>
    <x v="8"/>
    <x v="13"/>
    <x v="15"/>
    <x v="15"/>
    <x v="22"/>
    <x v="23"/>
    <x v="47"/>
    <x v="11"/>
    <x v="6"/>
  </r>
  <r>
    <x v="0"/>
    <x v="5"/>
    <x v="6"/>
    <x v="25"/>
    <x v="156"/>
    <x v="60"/>
    <x v="8"/>
    <x v="0"/>
    <x v="3"/>
    <x v="8"/>
    <x v="13"/>
    <x v="15"/>
    <x v="15"/>
    <x v="22"/>
    <x v="23"/>
    <x v="47"/>
    <x v="11"/>
    <x v="6"/>
  </r>
  <r>
    <x v="0"/>
    <x v="5"/>
    <x v="6"/>
    <x v="25"/>
    <x v="161"/>
    <x v="60"/>
    <x v="8"/>
    <x v="0"/>
    <x v="3"/>
    <x v="8"/>
    <x v="13"/>
    <x v="15"/>
    <x v="15"/>
    <x v="22"/>
    <x v="23"/>
    <x v="47"/>
    <x v="11"/>
    <x v="6"/>
  </r>
  <r>
    <x v="0"/>
    <x v="5"/>
    <x v="7"/>
    <x v="24"/>
    <x v="165"/>
    <x v="6"/>
    <x v="0"/>
    <x v="0"/>
    <x v="3"/>
    <x v="1"/>
    <x v="2"/>
    <x v="4"/>
    <x v="4"/>
    <x v="12"/>
    <x v="18"/>
    <x v="8"/>
    <x v="11"/>
    <x v="6"/>
  </r>
  <r>
    <x v="0"/>
    <x v="5"/>
    <x v="7"/>
    <x v="24"/>
    <x v="169"/>
    <x v="6"/>
    <x v="0"/>
    <x v="0"/>
    <x v="3"/>
    <x v="1"/>
    <x v="2"/>
    <x v="4"/>
    <x v="4"/>
    <x v="12"/>
    <x v="18"/>
    <x v="8"/>
    <x v="11"/>
    <x v="6"/>
  </r>
  <r>
    <x v="0"/>
    <x v="5"/>
    <x v="7"/>
    <x v="25"/>
    <x v="161"/>
    <x v="6"/>
    <x v="0"/>
    <x v="0"/>
    <x v="3"/>
    <x v="1"/>
    <x v="2"/>
    <x v="4"/>
    <x v="5"/>
    <x v="21"/>
    <x v="18"/>
    <x v="10"/>
    <x v="11"/>
    <x v="6"/>
  </r>
  <r>
    <x v="0"/>
    <x v="5"/>
    <x v="7"/>
    <x v="25"/>
    <x v="166"/>
    <x v="12"/>
    <x v="0"/>
    <x v="0"/>
    <x v="3"/>
    <x v="1"/>
    <x v="8"/>
    <x v="11"/>
    <x v="11"/>
    <x v="14"/>
    <x v="18"/>
    <x v="11"/>
    <x v="11"/>
    <x v="6"/>
  </r>
  <r>
    <x v="0"/>
    <x v="5"/>
    <x v="7"/>
    <x v="24"/>
    <x v="177"/>
    <x v="18"/>
    <x v="7"/>
    <x v="0"/>
    <x v="3"/>
    <x v="8"/>
    <x v="13"/>
    <x v="15"/>
    <x v="15"/>
    <x v="22"/>
    <x v="18"/>
    <x v="20"/>
    <x v="11"/>
    <x v="6"/>
  </r>
  <r>
    <x v="0"/>
    <x v="5"/>
    <x v="7"/>
    <x v="24"/>
    <x v="165"/>
    <x v="60"/>
    <x v="8"/>
    <x v="0"/>
    <x v="3"/>
    <x v="8"/>
    <x v="13"/>
    <x v="15"/>
    <x v="15"/>
    <x v="22"/>
    <x v="23"/>
    <x v="47"/>
    <x v="11"/>
    <x v="6"/>
  </r>
  <r>
    <x v="0"/>
    <x v="5"/>
    <x v="7"/>
    <x v="24"/>
    <x v="169"/>
    <x v="60"/>
    <x v="8"/>
    <x v="0"/>
    <x v="3"/>
    <x v="8"/>
    <x v="13"/>
    <x v="15"/>
    <x v="15"/>
    <x v="22"/>
    <x v="23"/>
    <x v="47"/>
    <x v="11"/>
    <x v="6"/>
  </r>
  <r>
    <x v="0"/>
    <x v="5"/>
    <x v="7"/>
    <x v="25"/>
    <x v="161"/>
    <x v="60"/>
    <x v="8"/>
    <x v="0"/>
    <x v="3"/>
    <x v="8"/>
    <x v="13"/>
    <x v="15"/>
    <x v="15"/>
    <x v="22"/>
    <x v="23"/>
    <x v="47"/>
    <x v="11"/>
    <x v="6"/>
  </r>
  <r>
    <x v="0"/>
    <x v="5"/>
    <x v="7"/>
    <x v="25"/>
    <x v="166"/>
    <x v="60"/>
    <x v="8"/>
    <x v="0"/>
    <x v="3"/>
    <x v="8"/>
    <x v="13"/>
    <x v="15"/>
    <x v="15"/>
    <x v="22"/>
    <x v="23"/>
    <x v="47"/>
    <x v="11"/>
    <x v="6"/>
  </r>
  <r>
    <x v="0"/>
    <x v="5"/>
    <x v="8"/>
    <x v="24"/>
    <x v="176"/>
    <x v="6"/>
    <x v="0"/>
    <x v="0"/>
    <x v="3"/>
    <x v="1"/>
    <x v="2"/>
    <x v="4"/>
    <x v="4"/>
    <x v="12"/>
    <x v="18"/>
    <x v="8"/>
    <x v="11"/>
    <x v="6"/>
  </r>
  <r>
    <x v="0"/>
    <x v="5"/>
    <x v="8"/>
    <x v="25"/>
    <x v="166"/>
    <x v="6"/>
    <x v="0"/>
    <x v="0"/>
    <x v="3"/>
    <x v="1"/>
    <x v="2"/>
    <x v="4"/>
    <x v="5"/>
    <x v="21"/>
    <x v="18"/>
    <x v="10"/>
    <x v="11"/>
    <x v="6"/>
  </r>
  <r>
    <x v="0"/>
    <x v="5"/>
    <x v="8"/>
    <x v="25"/>
    <x v="173"/>
    <x v="6"/>
    <x v="0"/>
    <x v="0"/>
    <x v="3"/>
    <x v="1"/>
    <x v="2"/>
    <x v="4"/>
    <x v="5"/>
    <x v="21"/>
    <x v="18"/>
    <x v="7"/>
    <x v="11"/>
    <x v="6"/>
  </r>
  <r>
    <x v="0"/>
    <x v="5"/>
    <x v="8"/>
    <x v="25"/>
    <x v="171"/>
    <x v="12"/>
    <x v="0"/>
    <x v="0"/>
    <x v="3"/>
    <x v="1"/>
    <x v="8"/>
    <x v="11"/>
    <x v="11"/>
    <x v="14"/>
    <x v="18"/>
    <x v="11"/>
    <x v="11"/>
    <x v="6"/>
  </r>
  <r>
    <x v="0"/>
    <x v="5"/>
    <x v="8"/>
    <x v="25"/>
    <x v="173"/>
    <x v="12"/>
    <x v="0"/>
    <x v="0"/>
    <x v="3"/>
    <x v="1"/>
    <x v="8"/>
    <x v="11"/>
    <x v="11"/>
    <x v="14"/>
    <x v="18"/>
    <x v="7"/>
    <x v="11"/>
    <x v="6"/>
  </r>
  <r>
    <x v="0"/>
    <x v="5"/>
    <x v="8"/>
    <x v="24"/>
    <x v="154"/>
    <x v="18"/>
    <x v="7"/>
    <x v="0"/>
    <x v="3"/>
    <x v="8"/>
    <x v="13"/>
    <x v="15"/>
    <x v="15"/>
    <x v="22"/>
    <x v="18"/>
    <x v="20"/>
    <x v="11"/>
    <x v="6"/>
  </r>
  <r>
    <x v="0"/>
    <x v="5"/>
    <x v="8"/>
    <x v="24"/>
    <x v="176"/>
    <x v="60"/>
    <x v="8"/>
    <x v="0"/>
    <x v="3"/>
    <x v="8"/>
    <x v="13"/>
    <x v="15"/>
    <x v="15"/>
    <x v="22"/>
    <x v="23"/>
    <x v="47"/>
    <x v="11"/>
    <x v="6"/>
  </r>
  <r>
    <x v="0"/>
    <x v="5"/>
    <x v="8"/>
    <x v="25"/>
    <x v="171"/>
    <x v="60"/>
    <x v="8"/>
    <x v="0"/>
    <x v="3"/>
    <x v="8"/>
    <x v="13"/>
    <x v="15"/>
    <x v="15"/>
    <x v="22"/>
    <x v="23"/>
    <x v="47"/>
    <x v="11"/>
    <x v="6"/>
  </r>
  <r>
    <x v="0"/>
    <x v="5"/>
    <x v="8"/>
    <x v="25"/>
    <x v="173"/>
    <x v="60"/>
    <x v="8"/>
    <x v="0"/>
    <x v="3"/>
    <x v="8"/>
    <x v="13"/>
    <x v="15"/>
    <x v="15"/>
    <x v="22"/>
    <x v="23"/>
    <x v="47"/>
    <x v="11"/>
    <x v="6"/>
  </r>
  <r>
    <x v="0"/>
    <x v="5"/>
    <x v="9"/>
    <x v="25"/>
    <x v="54"/>
    <x v="8"/>
    <x v="0"/>
    <x v="0"/>
    <x v="3"/>
    <x v="1"/>
    <x v="2"/>
    <x v="5"/>
    <x v="4"/>
    <x v="22"/>
    <x v="17"/>
    <x v="40"/>
    <x v="11"/>
    <x v="6"/>
  </r>
  <r>
    <x v="0"/>
    <x v="5"/>
    <x v="10"/>
    <x v="25"/>
    <x v="170"/>
    <x v="6"/>
    <x v="0"/>
    <x v="0"/>
    <x v="3"/>
    <x v="1"/>
    <x v="2"/>
    <x v="4"/>
    <x v="4"/>
    <x v="21"/>
    <x v="18"/>
    <x v="10"/>
    <x v="11"/>
    <x v="6"/>
  </r>
  <r>
    <x v="0"/>
    <x v="5"/>
    <x v="10"/>
    <x v="25"/>
    <x v="172"/>
    <x v="6"/>
    <x v="0"/>
    <x v="0"/>
    <x v="3"/>
    <x v="1"/>
    <x v="2"/>
    <x v="4"/>
    <x v="5"/>
    <x v="21"/>
    <x v="18"/>
    <x v="6"/>
    <x v="11"/>
    <x v="6"/>
  </r>
  <r>
    <x v="0"/>
    <x v="5"/>
    <x v="10"/>
    <x v="25"/>
    <x v="170"/>
    <x v="12"/>
    <x v="0"/>
    <x v="0"/>
    <x v="3"/>
    <x v="1"/>
    <x v="8"/>
    <x v="11"/>
    <x v="11"/>
    <x v="14"/>
    <x v="18"/>
    <x v="11"/>
    <x v="11"/>
    <x v="6"/>
  </r>
  <r>
    <x v="0"/>
    <x v="5"/>
    <x v="10"/>
    <x v="25"/>
    <x v="172"/>
    <x v="12"/>
    <x v="0"/>
    <x v="0"/>
    <x v="3"/>
    <x v="1"/>
    <x v="8"/>
    <x v="11"/>
    <x v="11"/>
    <x v="14"/>
    <x v="18"/>
    <x v="7"/>
    <x v="11"/>
    <x v="6"/>
  </r>
  <r>
    <x v="0"/>
    <x v="5"/>
    <x v="10"/>
    <x v="25"/>
    <x v="177"/>
    <x v="18"/>
    <x v="7"/>
    <x v="0"/>
    <x v="3"/>
    <x v="8"/>
    <x v="13"/>
    <x v="15"/>
    <x v="15"/>
    <x v="22"/>
    <x v="18"/>
    <x v="20"/>
    <x v="11"/>
    <x v="6"/>
  </r>
  <r>
    <x v="0"/>
    <x v="5"/>
    <x v="10"/>
    <x v="25"/>
    <x v="170"/>
    <x v="60"/>
    <x v="8"/>
    <x v="0"/>
    <x v="3"/>
    <x v="8"/>
    <x v="13"/>
    <x v="15"/>
    <x v="15"/>
    <x v="22"/>
    <x v="23"/>
    <x v="47"/>
    <x v="11"/>
    <x v="6"/>
  </r>
  <r>
    <x v="0"/>
    <x v="5"/>
    <x v="10"/>
    <x v="25"/>
    <x v="172"/>
    <x v="60"/>
    <x v="8"/>
    <x v="0"/>
    <x v="3"/>
    <x v="8"/>
    <x v="13"/>
    <x v="15"/>
    <x v="15"/>
    <x v="22"/>
    <x v="23"/>
    <x v="47"/>
    <x v="11"/>
    <x v="6"/>
  </r>
  <r>
    <x v="0"/>
    <x v="5"/>
    <x v="11"/>
    <x v="69"/>
    <x v="38"/>
    <x v="25"/>
    <x v="1"/>
    <x v="0"/>
    <x v="3"/>
    <x v="8"/>
    <x v="13"/>
    <x v="15"/>
    <x v="15"/>
    <x v="22"/>
    <x v="5"/>
    <x v="1"/>
    <x v="11"/>
    <x v="6"/>
  </r>
  <r>
    <x v="0"/>
    <x v="5"/>
    <x v="11"/>
    <x v="70"/>
    <x v="38"/>
    <x v="25"/>
    <x v="1"/>
    <x v="0"/>
    <x v="3"/>
    <x v="8"/>
    <x v="13"/>
    <x v="15"/>
    <x v="15"/>
    <x v="22"/>
    <x v="5"/>
    <x v="1"/>
    <x v="11"/>
    <x v="6"/>
  </r>
  <r>
    <x v="0"/>
    <x v="5"/>
    <x v="13"/>
    <x v="1"/>
    <x v="177"/>
    <x v="18"/>
    <x v="7"/>
    <x v="0"/>
    <x v="3"/>
    <x v="8"/>
    <x v="13"/>
    <x v="15"/>
    <x v="15"/>
    <x v="22"/>
    <x v="20"/>
    <x v="16"/>
    <x v="11"/>
    <x v="6"/>
  </r>
  <r>
    <x v="0"/>
    <x v="5"/>
    <x v="13"/>
    <x v="1"/>
    <x v="159"/>
    <x v="60"/>
    <x v="8"/>
    <x v="0"/>
    <x v="3"/>
    <x v="8"/>
    <x v="13"/>
    <x v="15"/>
    <x v="15"/>
    <x v="22"/>
    <x v="20"/>
    <x v="16"/>
    <x v="11"/>
    <x v="6"/>
  </r>
  <r>
    <x v="0"/>
    <x v="5"/>
    <x v="13"/>
    <x v="1"/>
    <x v="162"/>
    <x v="60"/>
    <x v="8"/>
    <x v="0"/>
    <x v="3"/>
    <x v="8"/>
    <x v="13"/>
    <x v="15"/>
    <x v="15"/>
    <x v="22"/>
    <x v="20"/>
    <x v="16"/>
    <x v="11"/>
    <x v="6"/>
  </r>
  <r>
    <x v="0"/>
    <x v="5"/>
    <x v="13"/>
    <x v="1"/>
    <x v="159"/>
    <x v="60"/>
    <x v="8"/>
    <x v="0"/>
    <x v="3"/>
    <x v="8"/>
    <x v="13"/>
    <x v="15"/>
    <x v="15"/>
    <x v="22"/>
    <x v="20"/>
    <x v="16"/>
    <x v="11"/>
    <x v="6"/>
  </r>
  <r>
    <x v="0"/>
    <x v="5"/>
    <x v="13"/>
    <x v="1"/>
    <x v="159"/>
    <x v="60"/>
    <x v="8"/>
    <x v="0"/>
    <x v="3"/>
    <x v="8"/>
    <x v="13"/>
    <x v="15"/>
    <x v="15"/>
    <x v="22"/>
    <x v="20"/>
    <x v="16"/>
    <x v="11"/>
    <x v="6"/>
  </r>
  <r>
    <x v="0"/>
    <x v="5"/>
    <x v="13"/>
    <x v="1"/>
    <x v="162"/>
    <x v="60"/>
    <x v="8"/>
    <x v="0"/>
    <x v="3"/>
    <x v="8"/>
    <x v="13"/>
    <x v="15"/>
    <x v="15"/>
    <x v="22"/>
    <x v="20"/>
    <x v="16"/>
    <x v="11"/>
    <x v="6"/>
  </r>
  <r>
    <x v="0"/>
    <x v="5"/>
    <x v="13"/>
    <x v="1"/>
    <x v="162"/>
    <x v="60"/>
    <x v="8"/>
    <x v="0"/>
    <x v="3"/>
    <x v="8"/>
    <x v="13"/>
    <x v="15"/>
    <x v="15"/>
    <x v="22"/>
    <x v="20"/>
    <x v="16"/>
    <x v="11"/>
    <x v="6"/>
  </r>
  <r>
    <x v="0"/>
    <x v="5"/>
    <x v="14"/>
    <x v="1"/>
    <x v="155"/>
    <x v="11"/>
    <x v="0"/>
    <x v="0"/>
    <x v="3"/>
    <x v="1"/>
    <x v="3"/>
    <x v="2"/>
    <x v="2"/>
    <x v="11"/>
    <x v="20"/>
    <x v="46"/>
    <x v="11"/>
    <x v="6"/>
  </r>
  <r>
    <x v="0"/>
    <x v="5"/>
    <x v="14"/>
    <x v="1"/>
    <x v="160"/>
    <x v="11"/>
    <x v="0"/>
    <x v="0"/>
    <x v="3"/>
    <x v="1"/>
    <x v="3"/>
    <x v="2"/>
    <x v="2"/>
    <x v="11"/>
    <x v="20"/>
    <x v="46"/>
    <x v="11"/>
    <x v="6"/>
  </r>
  <r>
    <x v="0"/>
    <x v="5"/>
    <x v="14"/>
    <x v="1"/>
    <x v="177"/>
    <x v="18"/>
    <x v="7"/>
    <x v="0"/>
    <x v="3"/>
    <x v="8"/>
    <x v="13"/>
    <x v="15"/>
    <x v="15"/>
    <x v="22"/>
    <x v="20"/>
    <x v="16"/>
    <x v="11"/>
    <x v="6"/>
  </r>
  <r>
    <x v="0"/>
    <x v="5"/>
    <x v="15"/>
    <x v="25"/>
    <x v="53"/>
    <x v="18"/>
    <x v="9"/>
    <x v="0"/>
    <x v="3"/>
    <x v="8"/>
    <x v="13"/>
    <x v="15"/>
    <x v="15"/>
    <x v="22"/>
    <x v="18"/>
    <x v="39"/>
    <x v="11"/>
    <x v="6"/>
  </r>
  <r>
    <x v="0"/>
    <x v="5"/>
    <x v="16"/>
    <x v="1"/>
    <x v="177"/>
    <x v="18"/>
    <x v="7"/>
    <x v="0"/>
    <x v="3"/>
    <x v="8"/>
    <x v="13"/>
    <x v="15"/>
    <x v="15"/>
    <x v="22"/>
    <x v="20"/>
    <x v="16"/>
    <x v="11"/>
    <x v="6"/>
  </r>
  <r>
    <x v="0"/>
    <x v="5"/>
    <x v="16"/>
    <x v="1"/>
    <x v="155"/>
    <x v="60"/>
    <x v="8"/>
    <x v="0"/>
    <x v="3"/>
    <x v="8"/>
    <x v="13"/>
    <x v="15"/>
    <x v="15"/>
    <x v="22"/>
    <x v="20"/>
    <x v="16"/>
    <x v="11"/>
    <x v="6"/>
  </r>
  <r>
    <x v="0"/>
    <x v="5"/>
    <x v="16"/>
    <x v="1"/>
    <x v="155"/>
    <x v="60"/>
    <x v="8"/>
    <x v="0"/>
    <x v="3"/>
    <x v="8"/>
    <x v="13"/>
    <x v="15"/>
    <x v="15"/>
    <x v="22"/>
    <x v="20"/>
    <x v="16"/>
    <x v="11"/>
    <x v="6"/>
  </r>
  <r>
    <x v="0"/>
    <x v="5"/>
    <x v="16"/>
    <x v="1"/>
    <x v="160"/>
    <x v="60"/>
    <x v="8"/>
    <x v="0"/>
    <x v="3"/>
    <x v="8"/>
    <x v="13"/>
    <x v="15"/>
    <x v="15"/>
    <x v="22"/>
    <x v="20"/>
    <x v="16"/>
    <x v="11"/>
    <x v="6"/>
  </r>
  <r>
    <x v="0"/>
    <x v="5"/>
    <x v="17"/>
    <x v="1"/>
    <x v="179"/>
    <x v="9"/>
    <x v="0"/>
    <x v="0"/>
    <x v="3"/>
    <x v="1"/>
    <x v="5"/>
    <x v="8"/>
    <x v="9"/>
    <x v="18"/>
    <x v="20"/>
    <x v="46"/>
    <x v="11"/>
    <x v="6"/>
  </r>
  <r>
    <x v="0"/>
    <x v="5"/>
    <x v="18"/>
    <x v="87"/>
    <x v="107"/>
    <x v="19"/>
    <x v="10"/>
    <x v="0"/>
    <x v="3"/>
    <x v="8"/>
    <x v="13"/>
    <x v="15"/>
    <x v="15"/>
    <x v="22"/>
    <x v="15"/>
    <x v="30"/>
    <x v="11"/>
    <x v="6"/>
  </r>
  <r>
    <x v="0"/>
    <x v="5"/>
    <x v="19"/>
    <x v="3"/>
    <x v="44"/>
    <x v="10"/>
    <x v="0"/>
    <x v="0"/>
    <x v="3"/>
    <x v="1"/>
    <x v="2"/>
    <x v="3"/>
    <x v="3"/>
    <x v="22"/>
    <x v="20"/>
    <x v="46"/>
    <x v="11"/>
    <x v="6"/>
  </r>
  <r>
    <x v="0"/>
    <x v="5"/>
    <x v="19"/>
    <x v="3"/>
    <x v="44"/>
    <x v="18"/>
    <x v="7"/>
    <x v="0"/>
    <x v="3"/>
    <x v="8"/>
    <x v="13"/>
    <x v="15"/>
    <x v="15"/>
    <x v="22"/>
    <x v="20"/>
    <x v="16"/>
    <x v="11"/>
    <x v="6"/>
  </r>
  <r>
    <x v="0"/>
    <x v="5"/>
    <x v="19"/>
    <x v="3"/>
    <x v="44"/>
    <x v="60"/>
    <x v="8"/>
    <x v="0"/>
    <x v="3"/>
    <x v="8"/>
    <x v="13"/>
    <x v="15"/>
    <x v="15"/>
    <x v="22"/>
    <x v="20"/>
    <x v="16"/>
    <x v="11"/>
    <x v="6"/>
  </r>
  <r>
    <x v="0"/>
    <x v="5"/>
    <x v="20"/>
    <x v="3"/>
    <x v="22"/>
    <x v="23"/>
    <x v="1"/>
    <x v="0"/>
    <x v="3"/>
    <x v="8"/>
    <x v="13"/>
    <x v="15"/>
    <x v="15"/>
    <x v="22"/>
    <x v="20"/>
    <x v="23"/>
    <x v="11"/>
    <x v="6"/>
  </r>
  <r>
    <x v="0"/>
    <x v="5"/>
    <x v="21"/>
    <x v="87"/>
    <x v="177"/>
    <x v="18"/>
    <x v="7"/>
    <x v="0"/>
    <x v="3"/>
    <x v="8"/>
    <x v="13"/>
    <x v="15"/>
    <x v="15"/>
    <x v="22"/>
    <x v="15"/>
    <x v="26"/>
    <x v="11"/>
    <x v="6"/>
  </r>
  <r>
    <x v="0"/>
    <x v="5"/>
    <x v="21"/>
    <x v="87"/>
    <x v="202"/>
    <x v="18"/>
    <x v="9"/>
    <x v="0"/>
    <x v="3"/>
    <x v="8"/>
    <x v="13"/>
    <x v="15"/>
    <x v="15"/>
    <x v="22"/>
    <x v="15"/>
    <x v="42"/>
    <x v="11"/>
    <x v="6"/>
  </r>
  <r>
    <x v="0"/>
    <x v="5"/>
    <x v="22"/>
    <x v="4"/>
    <x v="55"/>
    <x v="20"/>
    <x v="6"/>
    <x v="0"/>
    <x v="3"/>
    <x v="8"/>
    <x v="13"/>
    <x v="15"/>
    <x v="15"/>
    <x v="22"/>
    <x v="21"/>
    <x v="43"/>
    <x v="3"/>
    <x v="6"/>
  </r>
  <r>
    <x v="0"/>
    <x v="5"/>
    <x v="23"/>
    <x v="1"/>
    <x v="179"/>
    <x v="9"/>
    <x v="0"/>
    <x v="0"/>
    <x v="3"/>
    <x v="1"/>
    <x v="5"/>
    <x v="8"/>
    <x v="9"/>
    <x v="18"/>
    <x v="20"/>
    <x v="46"/>
    <x v="11"/>
    <x v="6"/>
  </r>
  <r>
    <x v="0"/>
    <x v="5"/>
    <x v="24"/>
    <x v="25"/>
    <x v="157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58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64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68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75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63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67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74"/>
    <x v="60"/>
    <x v="8"/>
    <x v="0"/>
    <x v="3"/>
    <x v="8"/>
    <x v="13"/>
    <x v="15"/>
    <x v="15"/>
    <x v="22"/>
    <x v="23"/>
    <x v="47"/>
    <x v="11"/>
    <x v="6"/>
  </r>
  <r>
    <x v="0"/>
    <x v="5"/>
    <x v="24"/>
    <x v="25"/>
    <x v="174"/>
    <x v="60"/>
    <x v="8"/>
    <x v="0"/>
    <x v="3"/>
    <x v="8"/>
    <x v="13"/>
    <x v="15"/>
    <x v="15"/>
    <x v="22"/>
    <x v="23"/>
    <x v="47"/>
    <x v="11"/>
    <x v="6"/>
  </r>
  <r>
    <x v="0"/>
    <x v="5"/>
    <x v="25"/>
    <x v="2"/>
    <x v="44"/>
    <x v="10"/>
    <x v="0"/>
    <x v="0"/>
    <x v="3"/>
    <x v="1"/>
    <x v="2"/>
    <x v="3"/>
    <x v="3"/>
    <x v="22"/>
    <x v="20"/>
    <x v="46"/>
    <x v="11"/>
    <x v="6"/>
  </r>
  <r>
    <x v="0"/>
    <x v="5"/>
    <x v="25"/>
    <x v="2"/>
    <x v="154"/>
    <x v="18"/>
    <x v="7"/>
    <x v="0"/>
    <x v="3"/>
    <x v="8"/>
    <x v="13"/>
    <x v="15"/>
    <x v="15"/>
    <x v="22"/>
    <x v="20"/>
    <x v="16"/>
    <x v="11"/>
    <x v="6"/>
  </r>
  <r>
    <x v="0"/>
    <x v="5"/>
    <x v="25"/>
    <x v="2"/>
    <x v="44"/>
    <x v="60"/>
    <x v="8"/>
    <x v="0"/>
    <x v="3"/>
    <x v="8"/>
    <x v="13"/>
    <x v="15"/>
    <x v="15"/>
    <x v="22"/>
    <x v="20"/>
    <x v="16"/>
    <x v="11"/>
    <x v="6"/>
  </r>
  <r>
    <x v="0"/>
    <x v="5"/>
    <x v="26"/>
    <x v="1"/>
    <x v="154"/>
    <x v="18"/>
    <x v="7"/>
    <x v="0"/>
    <x v="3"/>
    <x v="8"/>
    <x v="13"/>
    <x v="15"/>
    <x v="15"/>
    <x v="22"/>
    <x v="20"/>
    <x v="16"/>
    <x v="11"/>
    <x v="6"/>
  </r>
  <r>
    <x v="0"/>
    <x v="5"/>
    <x v="26"/>
    <x v="1"/>
    <x v="204"/>
    <x v="60"/>
    <x v="8"/>
    <x v="0"/>
    <x v="3"/>
    <x v="8"/>
    <x v="13"/>
    <x v="15"/>
    <x v="15"/>
    <x v="22"/>
    <x v="20"/>
    <x v="16"/>
    <x v="11"/>
    <x v="6"/>
  </r>
  <r>
    <x v="0"/>
    <x v="5"/>
    <x v="26"/>
    <x v="1"/>
    <x v="204"/>
    <x v="60"/>
    <x v="8"/>
    <x v="0"/>
    <x v="3"/>
    <x v="8"/>
    <x v="13"/>
    <x v="15"/>
    <x v="15"/>
    <x v="22"/>
    <x v="20"/>
    <x v="16"/>
    <x v="11"/>
    <x v="6"/>
  </r>
  <r>
    <x v="0"/>
    <x v="5"/>
    <x v="26"/>
    <x v="1"/>
    <x v="204"/>
    <x v="60"/>
    <x v="8"/>
    <x v="0"/>
    <x v="3"/>
    <x v="8"/>
    <x v="13"/>
    <x v="15"/>
    <x v="15"/>
    <x v="22"/>
    <x v="20"/>
    <x v="16"/>
    <x v="11"/>
    <x v="6"/>
  </r>
  <r>
    <x v="0"/>
    <x v="5"/>
    <x v="27"/>
    <x v="2"/>
    <x v="22"/>
    <x v="23"/>
    <x v="1"/>
    <x v="0"/>
    <x v="3"/>
    <x v="8"/>
    <x v="13"/>
    <x v="15"/>
    <x v="15"/>
    <x v="22"/>
    <x v="20"/>
    <x v="23"/>
    <x v="11"/>
    <x v="6"/>
  </r>
  <r>
    <x v="0"/>
    <x v="5"/>
    <x v="28"/>
    <x v="1"/>
    <x v="177"/>
    <x v="18"/>
    <x v="7"/>
    <x v="0"/>
    <x v="3"/>
    <x v="8"/>
    <x v="13"/>
    <x v="15"/>
    <x v="15"/>
    <x v="22"/>
    <x v="20"/>
    <x v="16"/>
    <x v="11"/>
    <x v="6"/>
  </r>
  <r>
    <x v="0"/>
    <x v="5"/>
    <x v="28"/>
    <x v="1"/>
    <x v="55"/>
    <x v="18"/>
    <x v="9"/>
    <x v="0"/>
    <x v="3"/>
    <x v="8"/>
    <x v="13"/>
    <x v="15"/>
    <x v="15"/>
    <x v="22"/>
    <x v="20"/>
    <x v="17"/>
    <x v="11"/>
    <x v="6"/>
  </r>
  <r>
    <x v="0"/>
    <x v="5"/>
    <x v="28"/>
    <x v="1"/>
    <x v="155"/>
    <x v="60"/>
    <x v="8"/>
    <x v="0"/>
    <x v="3"/>
    <x v="8"/>
    <x v="13"/>
    <x v="15"/>
    <x v="15"/>
    <x v="22"/>
    <x v="20"/>
    <x v="16"/>
    <x v="11"/>
    <x v="6"/>
  </r>
  <r>
    <x v="0"/>
    <x v="5"/>
    <x v="28"/>
    <x v="1"/>
    <x v="160"/>
    <x v="60"/>
    <x v="8"/>
    <x v="0"/>
    <x v="3"/>
    <x v="8"/>
    <x v="13"/>
    <x v="15"/>
    <x v="15"/>
    <x v="22"/>
    <x v="20"/>
    <x v="16"/>
    <x v="11"/>
    <x v="6"/>
  </r>
  <r>
    <x v="0"/>
    <x v="5"/>
    <x v="29"/>
    <x v="87"/>
    <x v="107"/>
    <x v="19"/>
    <x v="10"/>
    <x v="0"/>
    <x v="3"/>
    <x v="8"/>
    <x v="13"/>
    <x v="15"/>
    <x v="15"/>
    <x v="22"/>
    <x v="15"/>
    <x v="30"/>
    <x v="11"/>
    <x v="6"/>
  </r>
  <r>
    <x v="0"/>
    <x v="5"/>
    <x v="30"/>
    <x v="27"/>
    <x v="165"/>
    <x v="6"/>
    <x v="0"/>
    <x v="0"/>
    <x v="3"/>
    <x v="1"/>
    <x v="2"/>
    <x v="4"/>
    <x v="4"/>
    <x v="12"/>
    <x v="17"/>
    <x v="38"/>
    <x v="11"/>
    <x v="6"/>
  </r>
  <r>
    <x v="0"/>
    <x v="5"/>
    <x v="30"/>
    <x v="27"/>
    <x v="160"/>
    <x v="6"/>
    <x v="0"/>
    <x v="0"/>
    <x v="3"/>
    <x v="1"/>
    <x v="2"/>
    <x v="4"/>
    <x v="4"/>
    <x v="12"/>
    <x v="17"/>
    <x v="38"/>
    <x v="11"/>
    <x v="6"/>
  </r>
  <r>
    <x v="0"/>
    <x v="5"/>
    <x v="30"/>
    <x v="27"/>
    <x v="155"/>
    <x v="6"/>
    <x v="0"/>
    <x v="0"/>
    <x v="3"/>
    <x v="1"/>
    <x v="2"/>
    <x v="4"/>
    <x v="4"/>
    <x v="12"/>
    <x v="17"/>
    <x v="38"/>
    <x v="11"/>
    <x v="6"/>
  </r>
  <r>
    <x v="0"/>
    <x v="5"/>
    <x v="30"/>
    <x v="27"/>
    <x v="165"/>
    <x v="12"/>
    <x v="0"/>
    <x v="0"/>
    <x v="3"/>
    <x v="1"/>
    <x v="8"/>
    <x v="11"/>
    <x v="11"/>
    <x v="14"/>
    <x v="17"/>
    <x v="12"/>
    <x v="11"/>
    <x v="6"/>
  </r>
  <r>
    <x v="0"/>
    <x v="5"/>
    <x v="30"/>
    <x v="27"/>
    <x v="160"/>
    <x v="12"/>
    <x v="0"/>
    <x v="0"/>
    <x v="3"/>
    <x v="1"/>
    <x v="8"/>
    <x v="11"/>
    <x v="11"/>
    <x v="14"/>
    <x v="17"/>
    <x v="12"/>
    <x v="11"/>
    <x v="6"/>
  </r>
  <r>
    <x v="0"/>
    <x v="5"/>
    <x v="30"/>
    <x v="27"/>
    <x v="155"/>
    <x v="12"/>
    <x v="0"/>
    <x v="0"/>
    <x v="3"/>
    <x v="1"/>
    <x v="8"/>
    <x v="11"/>
    <x v="11"/>
    <x v="14"/>
    <x v="17"/>
    <x v="12"/>
    <x v="11"/>
    <x v="6"/>
  </r>
  <r>
    <x v="0"/>
    <x v="5"/>
    <x v="30"/>
    <x v="27"/>
    <x v="177"/>
    <x v="18"/>
    <x v="7"/>
    <x v="0"/>
    <x v="3"/>
    <x v="8"/>
    <x v="13"/>
    <x v="15"/>
    <x v="15"/>
    <x v="22"/>
    <x v="17"/>
    <x v="20"/>
    <x v="11"/>
    <x v="6"/>
  </r>
  <r>
    <x v="0"/>
    <x v="5"/>
    <x v="30"/>
    <x v="27"/>
    <x v="165"/>
    <x v="60"/>
    <x v="8"/>
    <x v="0"/>
    <x v="3"/>
    <x v="8"/>
    <x v="13"/>
    <x v="15"/>
    <x v="15"/>
    <x v="22"/>
    <x v="23"/>
    <x v="47"/>
    <x v="11"/>
    <x v="6"/>
  </r>
  <r>
    <x v="0"/>
    <x v="5"/>
    <x v="30"/>
    <x v="27"/>
    <x v="160"/>
    <x v="60"/>
    <x v="8"/>
    <x v="0"/>
    <x v="3"/>
    <x v="8"/>
    <x v="13"/>
    <x v="15"/>
    <x v="15"/>
    <x v="22"/>
    <x v="23"/>
    <x v="47"/>
    <x v="11"/>
    <x v="6"/>
  </r>
  <r>
    <x v="0"/>
    <x v="5"/>
    <x v="30"/>
    <x v="27"/>
    <x v="155"/>
    <x v="60"/>
    <x v="8"/>
    <x v="0"/>
    <x v="3"/>
    <x v="8"/>
    <x v="13"/>
    <x v="15"/>
    <x v="15"/>
    <x v="22"/>
    <x v="23"/>
    <x v="47"/>
    <x v="11"/>
    <x v="6"/>
  </r>
  <r>
    <x v="0"/>
    <x v="5"/>
    <x v="31"/>
    <x v="67"/>
    <x v="83"/>
    <x v="30"/>
    <x v="1"/>
    <x v="0"/>
    <x v="3"/>
    <x v="1"/>
    <x v="0"/>
    <x v="0"/>
    <x v="0"/>
    <x v="6"/>
    <x v="4"/>
    <x v="13"/>
    <x v="11"/>
    <x v="6"/>
  </r>
  <r>
    <x v="0"/>
    <x v="5"/>
    <x v="31"/>
    <x v="67"/>
    <x v="84"/>
    <x v="30"/>
    <x v="1"/>
    <x v="0"/>
    <x v="3"/>
    <x v="1"/>
    <x v="13"/>
    <x v="10"/>
    <x v="8"/>
    <x v="17"/>
    <x v="4"/>
    <x v="13"/>
    <x v="11"/>
    <x v="6"/>
  </r>
  <r>
    <x v="0"/>
    <x v="5"/>
    <x v="31"/>
    <x v="67"/>
    <x v="85"/>
    <x v="30"/>
    <x v="1"/>
    <x v="0"/>
    <x v="3"/>
    <x v="1"/>
    <x v="13"/>
    <x v="7"/>
    <x v="6"/>
    <x v="15"/>
    <x v="4"/>
    <x v="13"/>
    <x v="11"/>
    <x v="6"/>
  </r>
  <r>
    <x v="0"/>
    <x v="5"/>
    <x v="31"/>
    <x v="67"/>
    <x v="86"/>
    <x v="30"/>
    <x v="1"/>
    <x v="0"/>
    <x v="3"/>
    <x v="1"/>
    <x v="0"/>
    <x v="0"/>
    <x v="0"/>
    <x v="6"/>
    <x v="4"/>
    <x v="13"/>
    <x v="11"/>
    <x v="6"/>
  </r>
  <r>
    <x v="0"/>
    <x v="5"/>
    <x v="31"/>
    <x v="67"/>
    <x v="87"/>
    <x v="30"/>
    <x v="1"/>
    <x v="0"/>
    <x v="3"/>
    <x v="1"/>
    <x v="13"/>
    <x v="9"/>
    <x v="7"/>
    <x v="16"/>
    <x v="4"/>
    <x v="13"/>
    <x v="11"/>
    <x v="6"/>
  </r>
  <r>
    <x v="0"/>
    <x v="5"/>
    <x v="31"/>
    <x v="66"/>
    <x v="92"/>
    <x v="30"/>
    <x v="1"/>
    <x v="0"/>
    <x v="3"/>
    <x v="1"/>
    <x v="0"/>
    <x v="0"/>
    <x v="0"/>
    <x v="6"/>
    <x v="3"/>
    <x v="13"/>
    <x v="11"/>
    <x v="6"/>
  </r>
  <r>
    <x v="0"/>
    <x v="5"/>
    <x v="31"/>
    <x v="67"/>
    <x v="83"/>
    <x v="39"/>
    <x v="4"/>
    <x v="0"/>
    <x v="3"/>
    <x v="8"/>
    <x v="13"/>
    <x v="15"/>
    <x v="15"/>
    <x v="22"/>
    <x v="23"/>
    <x v="47"/>
    <x v="11"/>
    <x v="6"/>
  </r>
  <r>
    <x v="0"/>
    <x v="5"/>
    <x v="31"/>
    <x v="67"/>
    <x v="84"/>
    <x v="39"/>
    <x v="4"/>
    <x v="0"/>
    <x v="3"/>
    <x v="8"/>
    <x v="13"/>
    <x v="15"/>
    <x v="15"/>
    <x v="22"/>
    <x v="23"/>
    <x v="47"/>
    <x v="11"/>
    <x v="6"/>
  </r>
  <r>
    <x v="0"/>
    <x v="5"/>
    <x v="31"/>
    <x v="67"/>
    <x v="85"/>
    <x v="39"/>
    <x v="4"/>
    <x v="0"/>
    <x v="3"/>
    <x v="8"/>
    <x v="13"/>
    <x v="15"/>
    <x v="15"/>
    <x v="22"/>
    <x v="23"/>
    <x v="47"/>
    <x v="11"/>
    <x v="6"/>
  </r>
  <r>
    <x v="0"/>
    <x v="5"/>
    <x v="31"/>
    <x v="67"/>
    <x v="86"/>
    <x v="39"/>
    <x v="4"/>
    <x v="0"/>
    <x v="3"/>
    <x v="8"/>
    <x v="13"/>
    <x v="15"/>
    <x v="15"/>
    <x v="22"/>
    <x v="23"/>
    <x v="47"/>
    <x v="11"/>
    <x v="6"/>
  </r>
  <r>
    <x v="0"/>
    <x v="5"/>
    <x v="31"/>
    <x v="67"/>
    <x v="87"/>
    <x v="39"/>
    <x v="4"/>
    <x v="0"/>
    <x v="3"/>
    <x v="8"/>
    <x v="13"/>
    <x v="15"/>
    <x v="15"/>
    <x v="22"/>
    <x v="23"/>
    <x v="47"/>
    <x v="11"/>
    <x v="6"/>
  </r>
  <r>
    <x v="0"/>
    <x v="5"/>
    <x v="31"/>
    <x v="66"/>
    <x v="92"/>
    <x v="41"/>
    <x v="4"/>
    <x v="0"/>
    <x v="3"/>
    <x v="8"/>
    <x v="13"/>
    <x v="15"/>
    <x v="15"/>
    <x v="22"/>
    <x v="23"/>
    <x v="47"/>
    <x v="11"/>
    <x v="6"/>
  </r>
  <r>
    <x v="0"/>
    <x v="5"/>
    <x v="31"/>
    <x v="67"/>
    <x v="151"/>
    <x v="45"/>
    <x v="4"/>
    <x v="0"/>
    <x v="3"/>
    <x v="8"/>
    <x v="13"/>
    <x v="15"/>
    <x v="15"/>
    <x v="22"/>
    <x v="4"/>
    <x v="19"/>
    <x v="11"/>
    <x v="6"/>
  </r>
  <r>
    <x v="0"/>
    <x v="5"/>
    <x v="31"/>
    <x v="66"/>
    <x v="151"/>
    <x v="45"/>
    <x v="4"/>
    <x v="0"/>
    <x v="3"/>
    <x v="8"/>
    <x v="13"/>
    <x v="15"/>
    <x v="15"/>
    <x v="22"/>
    <x v="2"/>
    <x v="19"/>
    <x v="11"/>
    <x v="6"/>
  </r>
  <r>
    <x v="0"/>
    <x v="5"/>
    <x v="31"/>
    <x v="67"/>
    <x v="83"/>
    <x v="46"/>
    <x v="4"/>
    <x v="0"/>
    <x v="3"/>
    <x v="8"/>
    <x v="13"/>
    <x v="15"/>
    <x v="15"/>
    <x v="22"/>
    <x v="23"/>
    <x v="47"/>
    <x v="11"/>
    <x v="6"/>
  </r>
  <r>
    <x v="0"/>
    <x v="5"/>
    <x v="31"/>
    <x v="67"/>
    <x v="84"/>
    <x v="46"/>
    <x v="4"/>
    <x v="0"/>
    <x v="3"/>
    <x v="8"/>
    <x v="13"/>
    <x v="15"/>
    <x v="15"/>
    <x v="22"/>
    <x v="23"/>
    <x v="47"/>
    <x v="11"/>
    <x v="6"/>
  </r>
  <r>
    <x v="0"/>
    <x v="5"/>
    <x v="31"/>
    <x v="67"/>
    <x v="85"/>
    <x v="46"/>
    <x v="4"/>
    <x v="0"/>
    <x v="3"/>
    <x v="8"/>
    <x v="13"/>
    <x v="15"/>
    <x v="15"/>
    <x v="22"/>
    <x v="23"/>
    <x v="47"/>
    <x v="11"/>
    <x v="6"/>
  </r>
  <r>
    <x v="0"/>
    <x v="5"/>
    <x v="31"/>
    <x v="67"/>
    <x v="86"/>
    <x v="46"/>
    <x v="4"/>
    <x v="0"/>
    <x v="3"/>
    <x v="8"/>
    <x v="13"/>
    <x v="15"/>
    <x v="15"/>
    <x v="22"/>
    <x v="23"/>
    <x v="47"/>
    <x v="11"/>
    <x v="6"/>
  </r>
  <r>
    <x v="0"/>
    <x v="5"/>
    <x v="31"/>
    <x v="67"/>
    <x v="87"/>
    <x v="46"/>
    <x v="4"/>
    <x v="0"/>
    <x v="3"/>
    <x v="8"/>
    <x v="13"/>
    <x v="15"/>
    <x v="15"/>
    <x v="22"/>
    <x v="23"/>
    <x v="47"/>
    <x v="11"/>
    <x v="6"/>
  </r>
  <r>
    <x v="0"/>
    <x v="5"/>
    <x v="31"/>
    <x v="67"/>
    <x v="79"/>
    <x v="49"/>
    <x v="4"/>
    <x v="0"/>
    <x v="3"/>
    <x v="8"/>
    <x v="13"/>
    <x v="15"/>
    <x v="15"/>
    <x v="22"/>
    <x v="23"/>
    <x v="47"/>
    <x v="11"/>
    <x v="6"/>
  </r>
  <r>
    <x v="0"/>
    <x v="5"/>
    <x v="31"/>
    <x v="67"/>
    <x v="80"/>
    <x v="49"/>
    <x v="4"/>
    <x v="0"/>
    <x v="3"/>
    <x v="8"/>
    <x v="13"/>
    <x v="15"/>
    <x v="15"/>
    <x v="22"/>
    <x v="23"/>
    <x v="47"/>
    <x v="11"/>
    <x v="6"/>
  </r>
  <r>
    <x v="0"/>
    <x v="5"/>
    <x v="31"/>
    <x v="66"/>
    <x v="92"/>
    <x v="47"/>
    <x v="4"/>
    <x v="0"/>
    <x v="3"/>
    <x v="8"/>
    <x v="13"/>
    <x v="15"/>
    <x v="15"/>
    <x v="22"/>
    <x v="23"/>
    <x v="47"/>
    <x v="11"/>
    <x v="6"/>
  </r>
  <r>
    <x v="0"/>
    <x v="5"/>
    <x v="31"/>
    <x v="67"/>
    <x v="83"/>
    <x v="50"/>
    <x v="4"/>
    <x v="0"/>
    <x v="3"/>
    <x v="8"/>
    <x v="13"/>
    <x v="15"/>
    <x v="15"/>
    <x v="22"/>
    <x v="23"/>
    <x v="47"/>
    <x v="11"/>
    <x v="6"/>
  </r>
  <r>
    <x v="0"/>
    <x v="5"/>
    <x v="31"/>
    <x v="67"/>
    <x v="84"/>
    <x v="50"/>
    <x v="4"/>
    <x v="0"/>
    <x v="3"/>
    <x v="8"/>
    <x v="13"/>
    <x v="15"/>
    <x v="15"/>
    <x v="22"/>
    <x v="23"/>
    <x v="47"/>
    <x v="11"/>
    <x v="6"/>
  </r>
  <r>
    <x v="0"/>
    <x v="5"/>
    <x v="31"/>
    <x v="67"/>
    <x v="85"/>
    <x v="50"/>
    <x v="4"/>
    <x v="0"/>
    <x v="3"/>
    <x v="8"/>
    <x v="13"/>
    <x v="15"/>
    <x v="15"/>
    <x v="22"/>
    <x v="23"/>
    <x v="47"/>
    <x v="11"/>
    <x v="6"/>
  </r>
  <r>
    <x v="0"/>
    <x v="5"/>
    <x v="31"/>
    <x v="67"/>
    <x v="86"/>
    <x v="50"/>
    <x v="4"/>
    <x v="0"/>
    <x v="3"/>
    <x v="8"/>
    <x v="13"/>
    <x v="15"/>
    <x v="15"/>
    <x v="22"/>
    <x v="23"/>
    <x v="47"/>
    <x v="11"/>
    <x v="6"/>
  </r>
  <r>
    <x v="0"/>
    <x v="5"/>
    <x v="31"/>
    <x v="67"/>
    <x v="87"/>
    <x v="50"/>
    <x v="4"/>
    <x v="0"/>
    <x v="3"/>
    <x v="8"/>
    <x v="13"/>
    <x v="15"/>
    <x v="15"/>
    <x v="22"/>
    <x v="23"/>
    <x v="47"/>
    <x v="11"/>
    <x v="6"/>
  </r>
  <r>
    <x v="0"/>
    <x v="5"/>
    <x v="31"/>
    <x v="66"/>
    <x v="92"/>
    <x v="50"/>
    <x v="4"/>
    <x v="0"/>
    <x v="3"/>
    <x v="8"/>
    <x v="13"/>
    <x v="15"/>
    <x v="15"/>
    <x v="22"/>
    <x v="23"/>
    <x v="47"/>
    <x v="11"/>
    <x v="6"/>
  </r>
  <r>
    <x v="0"/>
    <x v="5"/>
    <x v="31"/>
    <x v="67"/>
    <x v="83"/>
    <x v="53"/>
    <x v="8"/>
    <x v="0"/>
    <x v="3"/>
    <x v="8"/>
    <x v="13"/>
    <x v="15"/>
    <x v="15"/>
    <x v="22"/>
    <x v="23"/>
    <x v="47"/>
    <x v="11"/>
    <x v="6"/>
  </r>
  <r>
    <x v="0"/>
    <x v="5"/>
    <x v="31"/>
    <x v="67"/>
    <x v="84"/>
    <x v="53"/>
    <x v="8"/>
    <x v="0"/>
    <x v="3"/>
    <x v="8"/>
    <x v="13"/>
    <x v="15"/>
    <x v="15"/>
    <x v="22"/>
    <x v="23"/>
    <x v="47"/>
    <x v="11"/>
    <x v="6"/>
  </r>
  <r>
    <x v="0"/>
    <x v="5"/>
    <x v="31"/>
    <x v="67"/>
    <x v="85"/>
    <x v="53"/>
    <x v="8"/>
    <x v="0"/>
    <x v="3"/>
    <x v="8"/>
    <x v="13"/>
    <x v="15"/>
    <x v="15"/>
    <x v="22"/>
    <x v="23"/>
    <x v="47"/>
    <x v="11"/>
    <x v="6"/>
  </r>
  <r>
    <x v="0"/>
    <x v="5"/>
    <x v="31"/>
    <x v="67"/>
    <x v="86"/>
    <x v="53"/>
    <x v="8"/>
    <x v="0"/>
    <x v="3"/>
    <x v="8"/>
    <x v="13"/>
    <x v="15"/>
    <x v="15"/>
    <x v="22"/>
    <x v="23"/>
    <x v="47"/>
    <x v="11"/>
    <x v="6"/>
  </r>
  <r>
    <x v="0"/>
    <x v="5"/>
    <x v="31"/>
    <x v="67"/>
    <x v="87"/>
    <x v="53"/>
    <x v="8"/>
    <x v="0"/>
    <x v="3"/>
    <x v="8"/>
    <x v="13"/>
    <x v="15"/>
    <x v="15"/>
    <x v="22"/>
    <x v="23"/>
    <x v="47"/>
    <x v="11"/>
    <x v="6"/>
  </r>
  <r>
    <x v="0"/>
    <x v="5"/>
    <x v="31"/>
    <x v="66"/>
    <x v="92"/>
    <x v="53"/>
    <x v="8"/>
    <x v="0"/>
    <x v="3"/>
    <x v="8"/>
    <x v="13"/>
    <x v="15"/>
    <x v="15"/>
    <x v="22"/>
    <x v="23"/>
    <x v="47"/>
    <x v="11"/>
    <x v="6"/>
  </r>
  <r>
    <x v="0"/>
    <x v="5"/>
    <x v="31"/>
    <x v="67"/>
    <x v="79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0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1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3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4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5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6"/>
    <x v="57"/>
    <x v="8"/>
    <x v="0"/>
    <x v="3"/>
    <x v="8"/>
    <x v="13"/>
    <x v="15"/>
    <x v="15"/>
    <x v="22"/>
    <x v="23"/>
    <x v="47"/>
    <x v="11"/>
    <x v="6"/>
  </r>
  <r>
    <x v="0"/>
    <x v="5"/>
    <x v="31"/>
    <x v="67"/>
    <x v="87"/>
    <x v="57"/>
    <x v="8"/>
    <x v="0"/>
    <x v="3"/>
    <x v="8"/>
    <x v="13"/>
    <x v="15"/>
    <x v="15"/>
    <x v="22"/>
    <x v="23"/>
    <x v="47"/>
    <x v="11"/>
    <x v="6"/>
  </r>
  <r>
    <x v="0"/>
    <x v="5"/>
    <x v="31"/>
    <x v="66"/>
    <x v="92"/>
    <x v="57"/>
    <x v="8"/>
    <x v="0"/>
    <x v="3"/>
    <x v="8"/>
    <x v="13"/>
    <x v="15"/>
    <x v="15"/>
    <x v="22"/>
    <x v="23"/>
    <x v="47"/>
    <x v="11"/>
    <x v="6"/>
  </r>
  <r>
    <x v="0"/>
    <x v="5"/>
    <x v="32"/>
    <x v="67"/>
    <x v="183"/>
    <x v="30"/>
    <x v="1"/>
    <x v="0"/>
    <x v="3"/>
    <x v="3"/>
    <x v="10"/>
    <x v="13"/>
    <x v="14"/>
    <x v="0"/>
    <x v="4"/>
    <x v="13"/>
    <x v="11"/>
    <x v="6"/>
  </r>
  <r>
    <x v="0"/>
    <x v="5"/>
    <x v="32"/>
    <x v="66"/>
    <x v="91"/>
    <x v="30"/>
    <x v="1"/>
    <x v="0"/>
    <x v="3"/>
    <x v="1"/>
    <x v="0"/>
    <x v="0"/>
    <x v="0"/>
    <x v="6"/>
    <x v="3"/>
    <x v="13"/>
    <x v="11"/>
    <x v="6"/>
  </r>
  <r>
    <x v="0"/>
    <x v="5"/>
    <x v="32"/>
    <x v="66"/>
    <x v="93"/>
    <x v="30"/>
    <x v="1"/>
    <x v="0"/>
    <x v="3"/>
    <x v="1"/>
    <x v="0"/>
    <x v="0"/>
    <x v="0"/>
    <x v="6"/>
    <x v="3"/>
    <x v="13"/>
    <x v="11"/>
    <x v="6"/>
  </r>
  <r>
    <x v="0"/>
    <x v="5"/>
    <x v="32"/>
    <x v="67"/>
    <x v="183"/>
    <x v="39"/>
    <x v="4"/>
    <x v="0"/>
    <x v="3"/>
    <x v="8"/>
    <x v="13"/>
    <x v="15"/>
    <x v="15"/>
    <x v="22"/>
    <x v="23"/>
    <x v="47"/>
    <x v="11"/>
    <x v="6"/>
  </r>
  <r>
    <x v="0"/>
    <x v="5"/>
    <x v="32"/>
    <x v="66"/>
    <x v="91"/>
    <x v="41"/>
    <x v="4"/>
    <x v="0"/>
    <x v="3"/>
    <x v="8"/>
    <x v="13"/>
    <x v="15"/>
    <x v="15"/>
    <x v="22"/>
    <x v="23"/>
    <x v="47"/>
    <x v="11"/>
    <x v="6"/>
  </r>
  <r>
    <x v="0"/>
    <x v="5"/>
    <x v="32"/>
    <x v="66"/>
    <x v="93"/>
    <x v="41"/>
    <x v="4"/>
    <x v="0"/>
    <x v="3"/>
    <x v="8"/>
    <x v="13"/>
    <x v="15"/>
    <x v="15"/>
    <x v="22"/>
    <x v="23"/>
    <x v="47"/>
    <x v="11"/>
    <x v="6"/>
  </r>
  <r>
    <x v="0"/>
    <x v="5"/>
    <x v="32"/>
    <x v="67"/>
    <x v="183"/>
    <x v="46"/>
    <x v="4"/>
    <x v="0"/>
    <x v="3"/>
    <x v="8"/>
    <x v="13"/>
    <x v="15"/>
    <x v="15"/>
    <x v="22"/>
    <x v="23"/>
    <x v="47"/>
    <x v="11"/>
    <x v="6"/>
  </r>
  <r>
    <x v="0"/>
    <x v="5"/>
    <x v="32"/>
    <x v="67"/>
    <x v="81"/>
    <x v="49"/>
    <x v="4"/>
    <x v="0"/>
    <x v="3"/>
    <x v="8"/>
    <x v="13"/>
    <x v="15"/>
    <x v="15"/>
    <x v="22"/>
    <x v="23"/>
    <x v="47"/>
    <x v="11"/>
    <x v="6"/>
  </r>
  <r>
    <x v="0"/>
    <x v="5"/>
    <x v="32"/>
    <x v="67"/>
    <x v="82"/>
    <x v="49"/>
    <x v="4"/>
    <x v="0"/>
    <x v="3"/>
    <x v="8"/>
    <x v="13"/>
    <x v="15"/>
    <x v="15"/>
    <x v="22"/>
    <x v="23"/>
    <x v="47"/>
    <x v="11"/>
    <x v="6"/>
  </r>
  <r>
    <x v="0"/>
    <x v="5"/>
    <x v="32"/>
    <x v="67"/>
    <x v="186"/>
    <x v="49"/>
    <x v="4"/>
    <x v="0"/>
    <x v="3"/>
    <x v="8"/>
    <x v="13"/>
    <x v="15"/>
    <x v="15"/>
    <x v="22"/>
    <x v="23"/>
    <x v="47"/>
    <x v="11"/>
    <x v="6"/>
  </r>
  <r>
    <x v="0"/>
    <x v="5"/>
    <x v="32"/>
    <x v="66"/>
    <x v="93"/>
    <x v="49"/>
    <x v="4"/>
    <x v="0"/>
    <x v="3"/>
    <x v="8"/>
    <x v="13"/>
    <x v="15"/>
    <x v="15"/>
    <x v="22"/>
    <x v="23"/>
    <x v="47"/>
    <x v="11"/>
    <x v="6"/>
  </r>
  <r>
    <x v="0"/>
    <x v="5"/>
    <x v="32"/>
    <x v="66"/>
    <x v="91"/>
    <x v="47"/>
    <x v="4"/>
    <x v="0"/>
    <x v="3"/>
    <x v="8"/>
    <x v="13"/>
    <x v="15"/>
    <x v="15"/>
    <x v="22"/>
    <x v="23"/>
    <x v="47"/>
    <x v="11"/>
    <x v="6"/>
  </r>
  <r>
    <x v="0"/>
    <x v="5"/>
    <x v="32"/>
    <x v="66"/>
    <x v="183"/>
    <x v="47"/>
    <x v="4"/>
    <x v="0"/>
    <x v="3"/>
    <x v="8"/>
    <x v="13"/>
    <x v="15"/>
    <x v="15"/>
    <x v="22"/>
    <x v="23"/>
    <x v="47"/>
    <x v="11"/>
    <x v="6"/>
  </r>
  <r>
    <x v="0"/>
    <x v="5"/>
    <x v="32"/>
    <x v="66"/>
    <x v="93"/>
    <x v="47"/>
    <x v="4"/>
    <x v="0"/>
    <x v="3"/>
    <x v="8"/>
    <x v="13"/>
    <x v="15"/>
    <x v="15"/>
    <x v="22"/>
    <x v="23"/>
    <x v="47"/>
    <x v="11"/>
    <x v="6"/>
  </r>
  <r>
    <x v="0"/>
    <x v="5"/>
    <x v="32"/>
    <x v="67"/>
    <x v="183"/>
    <x v="50"/>
    <x v="4"/>
    <x v="0"/>
    <x v="3"/>
    <x v="8"/>
    <x v="13"/>
    <x v="15"/>
    <x v="15"/>
    <x v="22"/>
    <x v="23"/>
    <x v="47"/>
    <x v="11"/>
    <x v="6"/>
  </r>
  <r>
    <x v="0"/>
    <x v="5"/>
    <x v="32"/>
    <x v="66"/>
    <x v="91"/>
    <x v="50"/>
    <x v="4"/>
    <x v="0"/>
    <x v="3"/>
    <x v="8"/>
    <x v="13"/>
    <x v="15"/>
    <x v="15"/>
    <x v="22"/>
    <x v="23"/>
    <x v="47"/>
    <x v="11"/>
    <x v="6"/>
  </r>
  <r>
    <x v="0"/>
    <x v="5"/>
    <x v="32"/>
    <x v="66"/>
    <x v="93"/>
    <x v="50"/>
    <x v="4"/>
    <x v="0"/>
    <x v="3"/>
    <x v="8"/>
    <x v="13"/>
    <x v="15"/>
    <x v="15"/>
    <x v="22"/>
    <x v="23"/>
    <x v="47"/>
    <x v="11"/>
    <x v="6"/>
  </r>
  <r>
    <x v="0"/>
    <x v="5"/>
    <x v="32"/>
    <x v="67"/>
    <x v="183"/>
    <x v="53"/>
    <x v="8"/>
    <x v="0"/>
    <x v="3"/>
    <x v="8"/>
    <x v="13"/>
    <x v="15"/>
    <x v="15"/>
    <x v="22"/>
    <x v="23"/>
    <x v="47"/>
    <x v="11"/>
    <x v="6"/>
  </r>
  <r>
    <x v="0"/>
    <x v="5"/>
    <x v="32"/>
    <x v="66"/>
    <x v="91"/>
    <x v="53"/>
    <x v="8"/>
    <x v="0"/>
    <x v="3"/>
    <x v="8"/>
    <x v="13"/>
    <x v="15"/>
    <x v="15"/>
    <x v="22"/>
    <x v="23"/>
    <x v="47"/>
    <x v="11"/>
    <x v="6"/>
  </r>
  <r>
    <x v="0"/>
    <x v="5"/>
    <x v="32"/>
    <x v="66"/>
    <x v="93"/>
    <x v="53"/>
    <x v="8"/>
    <x v="0"/>
    <x v="3"/>
    <x v="8"/>
    <x v="13"/>
    <x v="15"/>
    <x v="15"/>
    <x v="22"/>
    <x v="23"/>
    <x v="47"/>
    <x v="11"/>
    <x v="6"/>
  </r>
  <r>
    <x v="0"/>
    <x v="5"/>
    <x v="32"/>
    <x v="67"/>
    <x v="82"/>
    <x v="57"/>
    <x v="8"/>
    <x v="0"/>
    <x v="3"/>
    <x v="8"/>
    <x v="13"/>
    <x v="15"/>
    <x v="15"/>
    <x v="22"/>
    <x v="23"/>
    <x v="47"/>
    <x v="11"/>
    <x v="6"/>
  </r>
  <r>
    <x v="0"/>
    <x v="5"/>
    <x v="32"/>
    <x v="67"/>
    <x v="183"/>
    <x v="57"/>
    <x v="8"/>
    <x v="0"/>
    <x v="3"/>
    <x v="8"/>
    <x v="13"/>
    <x v="15"/>
    <x v="15"/>
    <x v="22"/>
    <x v="23"/>
    <x v="47"/>
    <x v="11"/>
    <x v="6"/>
  </r>
  <r>
    <x v="0"/>
    <x v="5"/>
    <x v="32"/>
    <x v="67"/>
    <x v="186"/>
    <x v="57"/>
    <x v="8"/>
    <x v="0"/>
    <x v="3"/>
    <x v="8"/>
    <x v="13"/>
    <x v="15"/>
    <x v="15"/>
    <x v="22"/>
    <x v="23"/>
    <x v="47"/>
    <x v="11"/>
    <x v="6"/>
  </r>
  <r>
    <x v="0"/>
    <x v="5"/>
    <x v="32"/>
    <x v="66"/>
    <x v="91"/>
    <x v="57"/>
    <x v="8"/>
    <x v="0"/>
    <x v="3"/>
    <x v="8"/>
    <x v="13"/>
    <x v="15"/>
    <x v="15"/>
    <x v="22"/>
    <x v="23"/>
    <x v="47"/>
    <x v="11"/>
    <x v="6"/>
  </r>
  <r>
    <x v="0"/>
    <x v="5"/>
    <x v="32"/>
    <x v="66"/>
    <x v="93"/>
    <x v="57"/>
    <x v="8"/>
    <x v="0"/>
    <x v="3"/>
    <x v="8"/>
    <x v="13"/>
    <x v="15"/>
    <x v="15"/>
    <x v="22"/>
    <x v="23"/>
    <x v="47"/>
    <x v="11"/>
    <x v="6"/>
  </r>
  <r>
    <x v="0"/>
    <x v="5"/>
    <x v="32"/>
    <x v="66"/>
    <x v="93"/>
    <x v="57"/>
    <x v="8"/>
    <x v="0"/>
    <x v="3"/>
    <x v="8"/>
    <x v="13"/>
    <x v="15"/>
    <x v="15"/>
    <x v="22"/>
    <x v="23"/>
    <x v="47"/>
    <x v="11"/>
    <x v="6"/>
  </r>
  <r>
    <x v="0"/>
    <x v="5"/>
    <x v="32"/>
    <x v="66"/>
    <x v="183"/>
    <x v="58"/>
    <x v="8"/>
    <x v="0"/>
    <x v="3"/>
    <x v="8"/>
    <x v="13"/>
    <x v="15"/>
    <x v="15"/>
    <x v="22"/>
    <x v="23"/>
    <x v="47"/>
    <x v="11"/>
    <x v="6"/>
  </r>
  <r>
    <x v="0"/>
    <x v="5"/>
    <x v="33"/>
    <x v="4"/>
    <x v="13"/>
    <x v="5"/>
    <x v="0"/>
    <x v="0"/>
    <x v="3"/>
    <x v="1"/>
    <x v="1"/>
    <x v="1"/>
    <x v="1"/>
    <x v="10"/>
    <x v="20"/>
    <x v="45"/>
    <x v="2"/>
    <x v="6"/>
  </r>
  <r>
    <x v="0"/>
    <x v="5"/>
    <x v="33"/>
    <x v="4"/>
    <x v="14"/>
    <x v="5"/>
    <x v="0"/>
    <x v="0"/>
    <x v="3"/>
    <x v="1"/>
    <x v="1"/>
    <x v="1"/>
    <x v="1"/>
    <x v="10"/>
    <x v="20"/>
    <x v="45"/>
    <x v="2"/>
    <x v="6"/>
  </r>
  <r>
    <x v="0"/>
    <x v="5"/>
    <x v="33"/>
    <x v="4"/>
    <x v="154"/>
    <x v="18"/>
    <x v="7"/>
    <x v="0"/>
    <x v="3"/>
    <x v="8"/>
    <x v="13"/>
    <x v="15"/>
    <x v="15"/>
    <x v="22"/>
    <x v="20"/>
    <x v="15"/>
    <x v="2"/>
    <x v="6"/>
  </r>
  <r>
    <x v="0"/>
    <x v="5"/>
    <x v="34"/>
    <x v="65"/>
    <x v="114"/>
    <x v="30"/>
    <x v="1"/>
    <x v="0"/>
    <x v="3"/>
    <x v="1"/>
    <x v="13"/>
    <x v="0"/>
    <x v="15"/>
    <x v="8"/>
    <x v="2"/>
    <x v="13"/>
    <x v="11"/>
    <x v="6"/>
  </r>
  <r>
    <x v="0"/>
    <x v="5"/>
    <x v="34"/>
    <x v="65"/>
    <x v="112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113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152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153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51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50"/>
    <x v="30"/>
    <x v="1"/>
    <x v="0"/>
    <x v="3"/>
    <x v="1"/>
    <x v="0"/>
    <x v="0"/>
    <x v="0"/>
    <x v="6"/>
    <x v="2"/>
    <x v="13"/>
    <x v="11"/>
    <x v="6"/>
  </r>
  <r>
    <x v="0"/>
    <x v="5"/>
    <x v="34"/>
    <x v="65"/>
    <x v="26"/>
    <x v="30"/>
    <x v="1"/>
    <x v="0"/>
    <x v="3"/>
    <x v="1"/>
    <x v="13"/>
    <x v="0"/>
    <x v="15"/>
    <x v="9"/>
    <x v="2"/>
    <x v="13"/>
    <x v="11"/>
    <x v="6"/>
  </r>
  <r>
    <x v="0"/>
    <x v="5"/>
    <x v="34"/>
    <x v="65"/>
    <x v="24"/>
    <x v="30"/>
    <x v="1"/>
    <x v="0"/>
    <x v="3"/>
    <x v="1"/>
    <x v="13"/>
    <x v="0"/>
    <x v="15"/>
    <x v="7"/>
    <x v="2"/>
    <x v="13"/>
    <x v="11"/>
    <x v="6"/>
  </r>
  <r>
    <x v="0"/>
    <x v="5"/>
    <x v="34"/>
    <x v="65"/>
    <x v="114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112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113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152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153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51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50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26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24"/>
    <x v="39"/>
    <x v="4"/>
    <x v="0"/>
    <x v="3"/>
    <x v="8"/>
    <x v="13"/>
    <x v="15"/>
    <x v="15"/>
    <x v="22"/>
    <x v="23"/>
    <x v="47"/>
    <x v="11"/>
    <x v="6"/>
  </r>
  <r>
    <x v="0"/>
    <x v="5"/>
    <x v="34"/>
    <x v="65"/>
    <x v="151"/>
    <x v="45"/>
    <x v="4"/>
    <x v="0"/>
    <x v="3"/>
    <x v="8"/>
    <x v="13"/>
    <x v="15"/>
    <x v="15"/>
    <x v="22"/>
    <x v="2"/>
    <x v="19"/>
    <x v="11"/>
    <x v="6"/>
  </r>
  <r>
    <x v="0"/>
    <x v="5"/>
    <x v="34"/>
    <x v="65"/>
    <x v="114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112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113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152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153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51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50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26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24"/>
    <x v="46"/>
    <x v="4"/>
    <x v="0"/>
    <x v="3"/>
    <x v="8"/>
    <x v="13"/>
    <x v="15"/>
    <x v="15"/>
    <x v="22"/>
    <x v="23"/>
    <x v="47"/>
    <x v="11"/>
    <x v="6"/>
  </r>
  <r>
    <x v="0"/>
    <x v="5"/>
    <x v="34"/>
    <x v="65"/>
    <x v="48"/>
    <x v="49"/>
    <x v="4"/>
    <x v="0"/>
    <x v="3"/>
    <x v="8"/>
    <x v="13"/>
    <x v="15"/>
    <x v="15"/>
    <x v="22"/>
    <x v="23"/>
    <x v="47"/>
    <x v="11"/>
    <x v="6"/>
  </r>
  <r>
    <x v="0"/>
    <x v="5"/>
    <x v="34"/>
    <x v="65"/>
    <x v="45"/>
    <x v="49"/>
    <x v="4"/>
    <x v="0"/>
    <x v="3"/>
    <x v="8"/>
    <x v="13"/>
    <x v="15"/>
    <x v="15"/>
    <x v="22"/>
    <x v="22"/>
    <x v="5"/>
    <x v="2"/>
    <x v="6"/>
  </r>
  <r>
    <x v="0"/>
    <x v="5"/>
    <x v="34"/>
    <x v="65"/>
    <x v="114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112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113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152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153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51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50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26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24"/>
    <x v="50"/>
    <x v="4"/>
    <x v="0"/>
    <x v="3"/>
    <x v="8"/>
    <x v="13"/>
    <x v="15"/>
    <x v="15"/>
    <x v="22"/>
    <x v="23"/>
    <x v="47"/>
    <x v="11"/>
    <x v="6"/>
  </r>
  <r>
    <x v="0"/>
    <x v="5"/>
    <x v="34"/>
    <x v="65"/>
    <x v="114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112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113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152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153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51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50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26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24"/>
    <x v="53"/>
    <x v="8"/>
    <x v="0"/>
    <x v="3"/>
    <x v="8"/>
    <x v="13"/>
    <x v="15"/>
    <x v="15"/>
    <x v="22"/>
    <x v="23"/>
    <x v="47"/>
    <x v="11"/>
    <x v="6"/>
  </r>
  <r>
    <x v="0"/>
    <x v="5"/>
    <x v="34"/>
    <x v="65"/>
    <x v="48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45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114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112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113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152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153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51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50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26"/>
    <x v="57"/>
    <x v="8"/>
    <x v="0"/>
    <x v="3"/>
    <x v="8"/>
    <x v="13"/>
    <x v="15"/>
    <x v="15"/>
    <x v="22"/>
    <x v="23"/>
    <x v="47"/>
    <x v="11"/>
    <x v="6"/>
  </r>
  <r>
    <x v="0"/>
    <x v="5"/>
    <x v="34"/>
    <x v="65"/>
    <x v="24"/>
    <x v="57"/>
    <x v="8"/>
    <x v="0"/>
    <x v="3"/>
    <x v="8"/>
    <x v="13"/>
    <x v="15"/>
    <x v="15"/>
    <x v="22"/>
    <x v="23"/>
    <x v="47"/>
    <x v="11"/>
    <x v="6"/>
  </r>
  <r>
    <x v="0"/>
    <x v="5"/>
    <x v="35"/>
    <x v="65"/>
    <x v="115"/>
    <x v="30"/>
    <x v="1"/>
    <x v="0"/>
    <x v="3"/>
    <x v="1"/>
    <x v="13"/>
    <x v="0"/>
    <x v="15"/>
    <x v="13"/>
    <x v="2"/>
    <x v="13"/>
    <x v="11"/>
    <x v="6"/>
  </r>
  <r>
    <x v="0"/>
    <x v="5"/>
    <x v="35"/>
    <x v="65"/>
    <x v="116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111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20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76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75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191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19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23"/>
    <x v="30"/>
    <x v="1"/>
    <x v="0"/>
    <x v="3"/>
    <x v="1"/>
    <x v="13"/>
    <x v="0"/>
    <x v="15"/>
    <x v="8"/>
    <x v="2"/>
    <x v="13"/>
    <x v="11"/>
    <x v="6"/>
  </r>
  <r>
    <x v="0"/>
    <x v="5"/>
    <x v="35"/>
    <x v="65"/>
    <x v="59"/>
    <x v="30"/>
    <x v="1"/>
    <x v="0"/>
    <x v="3"/>
    <x v="1"/>
    <x v="13"/>
    <x v="0"/>
    <x v="15"/>
    <x v="9"/>
    <x v="2"/>
    <x v="13"/>
    <x v="11"/>
    <x v="6"/>
  </r>
  <r>
    <x v="0"/>
    <x v="5"/>
    <x v="35"/>
    <x v="65"/>
    <x v="57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58"/>
    <x v="30"/>
    <x v="1"/>
    <x v="0"/>
    <x v="3"/>
    <x v="1"/>
    <x v="13"/>
    <x v="0"/>
    <x v="15"/>
    <x v="8"/>
    <x v="2"/>
    <x v="13"/>
    <x v="11"/>
    <x v="6"/>
  </r>
  <r>
    <x v="0"/>
    <x v="5"/>
    <x v="35"/>
    <x v="65"/>
    <x v="190"/>
    <x v="30"/>
    <x v="1"/>
    <x v="0"/>
    <x v="3"/>
    <x v="1"/>
    <x v="0"/>
    <x v="0"/>
    <x v="0"/>
    <x v="6"/>
    <x v="2"/>
    <x v="13"/>
    <x v="11"/>
    <x v="6"/>
  </r>
  <r>
    <x v="0"/>
    <x v="5"/>
    <x v="35"/>
    <x v="65"/>
    <x v="115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16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11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20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76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75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91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9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23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59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57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58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90"/>
    <x v="39"/>
    <x v="4"/>
    <x v="0"/>
    <x v="3"/>
    <x v="8"/>
    <x v="13"/>
    <x v="15"/>
    <x v="15"/>
    <x v="22"/>
    <x v="23"/>
    <x v="47"/>
    <x v="11"/>
    <x v="6"/>
  </r>
  <r>
    <x v="0"/>
    <x v="5"/>
    <x v="35"/>
    <x v="65"/>
    <x v="115"/>
    <x v="46"/>
    <x v="4"/>
    <x v="0"/>
    <x v="3"/>
    <x v="8"/>
    <x v="13"/>
    <x v="15"/>
    <x v="15"/>
    <x v="22"/>
    <x v="23"/>
    <x v="47"/>
    <x v="11"/>
    <x v="6"/>
  </r>
  <r>
    <x v="0"/>
    <x v="5"/>
    <x v="35"/>
    <x v="65"/>
    <x v="116"/>
    <x v="46"/>
    <x v="4"/>
    <x v="0"/>
    <x v="3"/>
    <x v="8"/>
    <x v="13"/>
    <x v="15"/>
    <x v="15"/>
    <x v="22"/>
    <x v="23"/>
    <x v="47"/>
    <x v="11"/>
    <x v="6"/>
  </r>
  <r>
    <x v="0"/>
    <x v="5"/>
    <x v="35"/>
    <x v="65"/>
    <x v="111"/>
    <x v="46"/>
    <x v="4"/>
    <x v="0"/>
    <x v="3"/>
    <x v="8"/>
    <x v="13"/>
    <x v="15"/>
    <x v="15"/>
    <x v="22"/>
    <x v="23"/>
    <x v="47"/>
    <x v="11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1:B63" firstHeaderRow="1" firstDataRow="1" firstDataCol="1"/>
  <pivotFields count="18"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 outline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21"/>
        <item x="22"/>
        <item x="23"/>
        <item x="27"/>
        <item x="30"/>
        <item x="31"/>
        <item x="34"/>
        <item x="35"/>
        <item x="36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15"/>
        <item x="16"/>
        <item x="17"/>
        <item x="18"/>
        <item x="19"/>
        <item x="20"/>
        <item x="24"/>
        <item x="25"/>
        <item x="26"/>
        <item x="28"/>
        <item x="29"/>
        <item x="32"/>
        <item x="33"/>
        <item x="37"/>
        <item x="45"/>
        <item x="60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mt" displayName="mt" ref="A1" headerRowCount="1" totalsRowCount="0" totalsRowShown="0">
  <autoFilter ref="A1"/>
  <tableColumns count="1">
    <tableColumn id="1" name="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AA944"/>
  <sheetViews>
    <sheetView showFormulas="false" showGridLines="true" showRowColHeaders="true" showZeros="true" rightToLeft="false" tabSelected="true" showOutlineSymbols="true" defaultGridColor="true" view="normal" topLeftCell="N1" colorId="64" zoomScale="200" zoomScaleNormal="200" zoomScalePageLayoutView="100" workbookViewId="0">
      <pane xSplit="0" ySplit="1" topLeftCell="A7" activePane="bottomLeft" state="frozen"/>
      <selection pane="topLeft" activeCell="N1" activeCellId="0" sqref="N1"/>
      <selection pane="bottomLeft" activeCell="O7" activeCellId="0" sqref="O7"/>
    </sheetView>
  </sheetViews>
  <sheetFormatPr defaultColWidth="12.58984375" defaultRowHeight="15" zeroHeight="false" outlineLevelRow="0" outlineLevelCol="0"/>
  <cols>
    <col collapsed="false" customWidth="true" hidden="false" outlineLevel="0" max="1" min="1" style="0" width="17.18"/>
    <col collapsed="false" customWidth="true" hidden="false" outlineLevel="0" max="2" min="2" style="0" width="25.45"/>
    <col collapsed="false" customWidth="true" hidden="false" outlineLevel="0" max="3" min="3" style="0" width="35.18"/>
    <col collapsed="false" customWidth="true" hidden="false" outlineLevel="0" max="4" min="4" style="0" width="23.18"/>
    <col collapsed="false" customWidth="true" hidden="false" outlineLevel="0" max="5" min="5" style="0" width="41.09"/>
    <col collapsed="false" customWidth="true" hidden="false" outlineLevel="0" max="6" min="6" style="0" width="34.45"/>
    <col collapsed="false" customWidth="true" hidden="false" outlineLevel="0" max="7" min="7" style="0" width="26.54"/>
    <col collapsed="false" customWidth="true" hidden="false" outlineLevel="0" max="8" min="8" style="0" width="11.84"/>
    <col collapsed="false" customWidth="true" hidden="false" outlineLevel="0" max="9" min="9" style="0" width="26.54"/>
    <col collapsed="false" customWidth="true" hidden="false" outlineLevel="0" max="10" min="10" style="0" width="15.81"/>
    <col collapsed="false" customWidth="true" hidden="false" outlineLevel="0" max="12" min="11" style="0" width="9.54"/>
    <col collapsed="false" customWidth="true" hidden="false" outlineLevel="0" max="13" min="13" style="0" width="15"/>
    <col collapsed="false" customWidth="true" hidden="false" outlineLevel="0" max="14" min="14" style="0" width="34.27"/>
    <col collapsed="false" customWidth="true" hidden="false" outlineLevel="0" max="15" min="15" style="1" width="27.46"/>
    <col collapsed="false" customWidth="true" hidden="false" outlineLevel="0" max="16" min="16" style="0" width="36.27"/>
    <col collapsed="false" customWidth="true" hidden="false" outlineLevel="0" max="17" min="17" style="0" width="17.36"/>
    <col collapsed="false" customWidth="true" hidden="false" outlineLevel="0" max="18" min="18" style="0" width="39.72"/>
    <col collapsed="false" customWidth="true" hidden="false" outlineLevel="0" max="19" min="19" style="0" width="142.34"/>
    <col collapsed="false" customWidth="true" hidden="false" outlineLevel="0" max="20" min="20" style="0" width="55.02"/>
    <col collapsed="false" customWidth="true" hidden="false" outlineLevel="0" max="27" min="21" style="0" width="9.54"/>
    <col collapsed="false" customWidth="true" hidden="false" outlineLevel="0" max="35" min="28" style="0" width="10.99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  <c r="U1" s="6"/>
      <c r="V1" s="6"/>
      <c r="W1" s="6"/>
      <c r="X1" s="6"/>
      <c r="Y1" s="6"/>
      <c r="Z1" s="6"/>
      <c r="AA1" s="6"/>
    </row>
    <row r="2" s="7" customFormat="true" ht="15.75" hidden="true" customHeight="true" outlineLevel="0" collapsed="false">
      <c r="A2" s="7" t="s">
        <v>20</v>
      </c>
      <c r="B2" s="7" t="s">
        <v>21</v>
      </c>
      <c r="C2" s="7" t="s">
        <v>22</v>
      </c>
      <c r="D2" s="7" t="s">
        <v>23</v>
      </c>
      <c r="F2" s="7" t="s">
        <v>24</v>
      </c>
      <c r="G2" s="7" t="s">
        <v>25</v>
      </c>
      <c r="O2" s="8" t="s">
        <v>26</v>
      </c>
      <c r="P2" s="9" t="s">
        <v>27</v>
      </c>
      <c r="R2" s="10" t="s">
        <v>28</v>
      </c>
      <c r="T2" s="7" t="str">
        <f aca="false">_xlfn.TEXTJOIN( , ,B2,C2)</f>
        <v>battery_roomSpot Cam - PTZ - 1 spot-cam-ptz.jpg</v>
      </c>
    </row>
    <row r="3" s="7" customFormat="true" ht="15.75" hidden="true" customHeight="true" outlineLevel="0" collapsed="false">
      <c r="A3" s="7" t="s">
        <v>20</v>
      </c>
      <c r="B3" s="7" t="s">
        <v>21</v>
      </c>
      <c r="C3" s="7" t="s">
        <v>22</v>
      </c>
      <c r="D3" s="7" t="s">
        <v>23</v>
      </c>
      <c r="F3" s="7" t="s">
        <v>24</v>
      </c>
      <c r="G3" s="7" t="s">
        <v>25</v>
      </c>
      <c r="O3" s="8" t="s">
        <v>26</v>
      </c>
      <c r="P3" s="8" t="s">
        <v>29</v>
      </c>
      <c r="R3" s="10"/>
      <c r="T3" s="7" t="str">
        <f aca="false">_xlfn.TEXTJOIN( , ,B3,C3)</f>
        <v>battery_roomSpot Cam - PTZ - 1 spot-cam-ptz.jpg</v>
      </c>
    </row>
    <row r="4" s="7" customFormat="true" ht="15" hidden="tru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30</v>
      </c>
      <c r="F4" s="7" t="s">
        <v>31</v>
      </c>
      <c r="G4" s="7" t="s">
        <v>25</v>
      </c>
      <c r="O4" s="8" t="s">
        <v>26</v>
      </c>
      <c r="P4" s="8" t="s">
        <v>32</v>
      </c>
      <c r="T4" s="7" t="str">
        <f aca="false">_xlfn.TEXTJOIN( , ,B4,C4)</f>
        <v>battery_roomSpot Cam - PTZ - 1 spot-cam-ptz.jpg</v>
      </c>
    </row>
    <row r="5" s="7" customFormat="true" ht="15" hidden="true" customHeight="true" outlineLevel="0" collapsed="false">
      <c r="A5" s="7" t="s">
        <v>20</v>
      </c>
      <c r="B5" s="7" t="s">
        <v>21</v>
      </c>
      <c r="C5" s="7" t="s">
        <v>33</v>
      </c>
      <c r="D5" s="7" t="s">
        <v>23</v>
      </c>
      <c r="E5" s="7" t="s">
        <v>34</v>
      </c>
      <c r="F5" s="7" t="s">
        <v>35</v>
      </c>
      <c r="G5" s="7" t="s">
        <v>36</v>
      </c>
      <c r="J5" s="7" t="n">
        <v>0</v>
      </c>
      <c r="K5" s="7" t="n">
        <v>10</v>
      </c>
      <c r="L5" s="7" t="n">
        <v>4</v>
      </c>
      <c r="M5" s="7" t="n">
        <v>9</v>
      </c>
      <c r="N5" s="10" t="s">
        <v>37</v>
      </c>
      <c r="O5" s="8" t="s">
        <v>26</v>
      </c>
      <c r="P5" s="8" t="s">
        <v>32</v>
      </c>
      <c r="R5" s="10" t="s">
        <v>38</v>
      </c>
      <c r="T5" s="7" t="str">
        <f aca="false">_xlfn.TEXTJOIN( , ,B5,C5)</f>
        <v>battery_roomSpot Cam - PTZ - 10 spot-cam-ptz.jpg</v>
      </c>
    </row>
    <row r="6" s="7" customFormat="true" ht="15.75" hidden="true" customHeight="true" outlineLevel="0" collapsed="false">
      <c r="A6" s="7" t="s">
        <v>20</v>
      </c>
      <c r="B6" s="7" t="s">
        <v>21</v>
      </c>
      <c r="C6" s="7" t="s">
        <v>33</v>
      </c>
      <c r="D6" s="7" t="s">
        <v>23</v>
      </c>
      <c r="E6" s="7" t="s">
        <v>39</v>
      </c>
      <c r="F6" s="7" t="s">
        <v>35</v>
      </c>
      <c r="G6" s="7" t="s">
        <v>36</v>
      </c>
      <c r="J6" s="7" t="n">
        <v>0</v>
      </c>
      <c r="K6" s="7" t="n">
        <v>10</v>
      </c>
      <c r="L6" s="7" t="n">
        <v>4</v>
      </c>
      <c r="M6" s="7" t="n">
        <v>9</v>
      </c>
      <c r="N6" s="10" t="s">
        <v>37</v>
      </c>
      <c r="O6" s="8" t="s">
        <v>26</v>
      </c>
      <c r="P6" s="8" t="s">
        <v>32</v>
      </c>
      <c r="R6" s="10" t="s">
        <v>38</v>
      </c>
      <c r="T6" s="7" t="str">
        <f aca="false">_xlfn.TEXTJOIN( , ,B6,C6)</f>
        <v>battery_roomSpot Cam - PTZ - 10 spot-cam-ptz.jpg</v>
      </c>
    </row>
    <row r="7" s="7" customFormat="true" ht="15.75" hidden="false" customHeight="true" outlineLevel="0" collapsed="false">
      <c r="A7" s="7" t="s">
        <v>20</v>
      </c>
      <c r="B7" s="7" t="s">
        <v>21</v>
      </c>
      <c r="C7" s="7" t="s">
        <v>40</v>
      </c>
      <c r="D7" s="7" t="s">
        <v>41</v>
      </c>
      <c r="E7" s="7" t="s">
        <v>42</v>
      </c>
      <c r="F7" s="7" t="s">
        <v>43</v>
      </c>
      <c r="G7" s="7" t="s">
        <v>44</v>
      </c>
      <c r="O7" s="8" t="s">
        <v>45</v>
      </c>
      <c r="P7" s="8" t="s">
        <v>46</v>
      </c>
      <c r="Q7" s="8" t="s">
        <v>47</v>
      </c>
      <c r="S7" s="11" t="s">
        <v>48</v>
      </c>
      <c r="T7" s="7" t="str">
        <f aca="false">_xlfn.TEXTJOIN( , ,B7,C7)</f>
        <v>battery_roomSpot Cam - PTZ - 11 spot-cam-ptz.jpg</v>
      </c>
    </row>
    <row r="8" s="7" customFormat="true" ht="15.75" hidden="false" customHeight="true" outlineLevel="0" collapsed="false">
      <c r="A8" s="7" t="s">
        <v>20</v>
      </c>
      <c r="B8" s="7" t="s">
        <v>21</v>
      </c>
      <c r="C8" s="7" t="s">
        <v>49</v>
      </c>
      <c r="D8" s="7" t="s">
        <v>41</v>
      </c>
      <c r="E8" s="7" t="s">
        <v>42</v>
      </c>
      <c r="F8" s="7" t="s">
        <v>43</v>
      </c>
      <c r="G8" s="7" t="s">
        <v>44</v>
      </c>
      <c r="O8" s="8" t="s">
        <v>45</v>
      </c>
      <c r="P8" s="8" t="s">
        <v>46</v>
      </c>
      <c r="Q8" s="8" t="s">
        <v>47</v>
      </c>
      <c r="S8" s="11" t="s">
        <v>48</v>
      </c>
      <c r="T8" s="7" t="str">
        <f aca="false">_xlfn.TEXTJOIN( , ,B8,C8)</f>
        <v>battery_roomSpot Cam - PTZ - 12 spot-cam-ptz.jpg</v>
      </c>
    </row>
    <row r="9" s="7" customFormat="true" ht="15.75" hidden="false" customHeight="true" outlineLevel="0" collapsed="false">
      <c r="A9" s="7" t="s">
        <v>20</v>
      </c>
      <c r="B9" s="7" t="s">
        <v>21</v>
      </c>
      <c r="C9" s="7" t="s">
        <v>50</v>
      </c>
      <c r="D9" s="7" t="s">
        <v>41</v>
      </c>
      <c r="E9" s="7" t="s">
        <v>42</v>
      </c>
      <c r="F9" s="7" t="s">
        <v>43</v>
      </c>
      <c r="G9" s="7" t="s">
        <v>44</v>
      </c>
      <c r="O9" s="8" t="s">
        <v>45</v>
      </c>
      <c r="P9" s="8" t="s">
        <v>46</v>
      </c>
      <c r="Q9" s="8" t="s">
        <v>47</v>
      </c>
      <c r="S9" s="11" t="s">
        <v>48</v>
      </c>
      <c r="T9" s="7" t="str">
        <f aca="false">_xlfn.TEXTJOIN( , ,B9,C9)</f>
        <v>battery_roomSpot Cam - PTZ - 13 spot-cam-ptz.jpg</v>
      </c>
    </row>
    <row r="10" s="7" customFormat="true" ht="15.75" hidden="false" customHeight="true" outlineLevel="0" collapsed="false">
      <c r="A10" s="7" t="s">
        <v>20</v>
      </c>
      <c r="B10" s="7" t="s">
        <v>21</v>
      </c>
      <c r="C10" s="7" t="s">
        <v>51</v>
      </c>
      <c r="D10" s="7" t="s">
        <v>41</v>
      </c>
      <c r="E10" s="7" t="s">
        <v>42</v>
      </c>
      <c r="F10" s="7" t="s">
        <v>43</v>
      </c>
      <c r="G10" s="7" t="s">
        <v>44</v>
      </c>
      <c r="O10" s="8" t="s">
        <v>45</v>
      </c>
      <c r="P10" s="8" t="s">
        <v>46</v>
      </c>
      <c r="Q10" s="8" t="s">
        <v>47</v>
      </c>
      <c r="S10" s="11" t="s">
        <v>48</v>
      </c>
      <c r="T10" s="7" t="str">
        <f aca="false">_xlfn.TEXTJOIN( , ,B10,C10)</f>
        <v>battery_roomSpot Cam - PTZ - 14 spot-cam-ptz.jpg</v>
      </c>
    </row>
    <row r="11" s="7" customFormat="true" ht="15.75" hidden="true" customHeight="true" outlineLevel="0" collapsed="false">
      <c r="A11" s="7" t="s">
        <v>20</v>
      </c>
      <c r="B11" s="7" t="s">
        <v>21</v>
      </c>
      <c r="C11" s="7" t="s">
        <v>52</v>
      </c>
      <c r="D11" s="7" t="s">
        <v>23</v>
      </c>
      <c r="F11" s="7" t="s">
        <v>24</v>
      </c>
      <c r="G11" s="7" t="s">
        <v>25</v>
      </c>
      <c r="L11" s="10"/>
      <c r="O11" s="8" t="s">
        <v>26</v>
      </c>
      <c r="P11" s="8" t="s">
        <v>53</v>
      </c>
      <c r="T11" s="7" t="str">
        <f aca="false">_xlfn.TEXTJOIN( , ,B11,C11)</f>
        <v>battery_roomSpot Cam - PTZ - 15 spot-cam-ptz.jpg</v>
      </c>
    </row>
    <row r="12" s="7" customFormat="true" ht="15.75" hidden="true" customHeight="true" outlineLevel="0" collapsed="false">
      <c r="A12" s="7" t="s">
        <v>20</v>
      </c>
      <c r="B12" s="7" t="s">
        <v>21</v>
      </c>
      <c r="C12" s="7" t="s">
        <v>52</v>
      </c>
      <c r="D12" s="7" t="s">
        <v>23</v>
      </c>
      <c r="F12" s="7" t="s">
        <v>24</v>
      </c>
      <c r="G12" s="7" t="s">
        <v>25</v>
      </c>
      <c r="O12" s="8" t="s">
        <v>26</v>
      </c>
      <c r="P12" s="8" t="s">
        <v>53</v>
      </c>
      <c r="R12" s="10" t="s">
        <v>54</v>
      </c>
      <c r="T12" s="7" t="str">
        <f aca="false">_xlfn.TEXTJOIN( , ,B12,C12)</f>
        <v>battery_roomSpot Cam - PTZ - 15 spot-cam-ptz.jpg</v>
      </c>
    </row>
    <row r="13" s="7" customFormat="true" ht="15.75" hidden="true" customHeight="true" outlineLevel="0" collapsed="false">
      <c r="A13" s="7" t="s">
        <v>20</v>
      </c>
      <c r="B13" s="7" t="s">
        <v>21</v>
      </c>
      <c r="C13" s="7" t="s">
        <v>52</v>
      </c>
      <c r="D13" s="7" t="s">
        <v>23</v>
      </c>
      <c r="E13" s="7" t="s">
        <v>30</v>
      </c>
      <c r="F13" s="7" t="s">
        <v>31</v>
      </c>
      <c r="G13" s="7" t="s">
        <v>25</v>
      </c>
      <c r="O13" s="8" t="s">
        <v>26</v>
      </c>
      <c r="P13" s="8" t="s">
        <v>53</v>
      </c>
      <c r="R13" s="10" t="s">
        <v>54</v>
      </c>
      <c r="T13" s="7" t="str">
        <f aca="false">_xlfn.TEXTJOIN( , ,B13,C13)</f>
        <v>battery_roomSpot Cam - PTZ - 15 spot-cam-ptz.jpg</v>
      </c>
    </row>
    <row r="14" s="7" customFormat="true" ht="15.75" hidden="true" customHeight="true" outlineLevel="0" collapsed="false">
      <c r="A14" s="7" t="s">
        <v>20</v>
      </c>
      <c r="B14" s="7" t="s">
        <v>21</v>
      </c>
      <c r="C14" s="7" t="s">
        <v>55</v>
      </c>
      <c r="D14" s="7" t="s">
        <v>23</v>
      </c>
      <c r="E14" s="7" t="s">
        <v>34</v>
      </c>
      <c r="F14" s="7" t="s">
        <v>35</v>
      </c>
      <c r="G14" s="7" t="s">
        <v>36</v>
      </c>
      <c r="J14" s="7" t="n">
        <v>0</v>
      </c>
      <c r="K14" s="7" t="n">
        <v>10</v>
      </c>
      <c r="L14" s="7" t="n">
        <v>4</v>
      </c>
      <c r="M14" s="7" t="n">
        <v>9</v>
      </c>
      <c r="N14" s="10" t="s">
        <v>37</v>
      </c>
      <c r="O14" s="8" t="s">
        <v>26</v>
      </c>
      <c r="P14" s="8" t="s">
        <v>32</v>
      </c>
      <c r="R14" s="10" t="s">
        <v>38</v>
      </c>
      <c r="T14" s="7" t="str">
        <f aca="false">_xlfn.TEXTJOIN( , ,B14,C14)</f>
        <v>battery_roomSpot Cam - PTZ - 16 spot-cam-ptz.jpg</v>
      </c>
    </row>
    <row r="15" s="7" customFormat="true" ht="15.75" hidden="true" customHeight="true" outlineLevel="0" collapsed="false">
      <c r="A15" s="7" t="s">
        <v>20</v>
      </c>
      <c r="B15" s="7" t="s">
        <v>21</v>
      </c>
      <c r="C15" s="7" t="s">
        <v>55</v>
      </c>
      <c r="D15" s="7" t="s">
        <v>23</v>
      </c>
      <c r="E15" s="7" t="s">
        <v>39</v>
      </c>
      <c r="F15" s="7" t="s">
        <v>35</v>
      </c>
      <c r="G15" s="7" t="s">
        <v>36</v>
      </c>
      <c r="J15" s="7" t="n">
        <v>0</v>
      </c>
      <c r="K15" s="7" t="n">
        <v>10</v>
      </c>
      <c r="L15" s="7" t="n">
        <v>4</v>
      </c>
      <c r="M15" s="7" t="n">
        <v>9</v>
      </c>
      <c r="N15" s="10" t="s">
        <v>37</v>
      </c>
      <c r="O15" s="8" t="s">
        <v>26</v>
      </c>
      <c r="P15" s="8" t="s">
        <v>32</v>
      </c>
      <c r="R15" s="10" t="s">
        <v>38</v>
      </c>
      <c r="T15" s="7" t="str">
        <f aca="false">_xlfn.TEXTJOIN( , ,B15,C15)</f>
        <v>battery_roomSpot Cam - PTZ - 16 spot-cam-ptz.jpg</v>
      </c>
    </row>
    <row r="16" s="7" customFormat="true" ht="15.75" hidden="false" customHeight="true" outlineLevel="0" collapsed="false">
      <c r="A16" s="7" t="s">
        <v>20</v>
      </c>
      <c r="B16" s="7" t="s">
        <v>21</v>
      </c>
      <c r="C16" s="7" t="s">
        <v>56</v>
      </c>
      <c r="D16" s="10" t="s">
        <v>57</v>
      </c>
      <c r="E16" s="7" t="s">
        <v>58</v>
      </c>
      <c r="F16" s="7" t="s">
        <v>59</v>
      </c>
      <c r="G16" s="7" t="s">
        <v>44</v>
      </c>
      <c r="S16" s="11" t="s">
        <v>60</v>
      </c>
      <c r="T16" s="7" t="str">
        <f aca="false">_xlfn.TEXTJOIN( , ,B16,C16)</f>
        <v>battery_roomSpot Cam - PTZ - 17 spot-cam-ptz.jpg</v>
      </c>
    </row>
    <row r="17" s="7" customFormat="true" ht="15.75" hidden="true" customHeight="true" outlineLevel="0" collapsed="false">
      <c r="A17" s="7" t="s">
        <v>20</v>
      </c>
      <c r="B17" s="7" t="s">
        <v>21</v>
      </c>
      <c r="C17" s="7" t="s">
        <v>61</v>
      </c>
      <c r="D17" s="7" t="s">
        <v>23</v>
      </c>
      <c r="E17" s="7" t="s">
        <v>34</v>
      </c>
      <c r="F17" s="7" t="s">
        <v>35</v>
      </c>
      <c r="G17" s="7" t="s">
        <v>36</v>
      </c>
      <c r="J17" s="7" t="n">
        <v>0</v>
      </c>
      <c r="K17" s="7" t="n">
        <v>10</v>
      </c>
      <c r="L17" s="7" t="n">
        <v>4</v>
      </c>
      <c r="M17" s="7" t="n">
        <v>9</v>
      </c>
      <c r="N17" s="10" t="s">
        <v>37</v>
      </c>
      <c r="O17" s="8" t="s">
        <v>26</v>
      </c>
      <c r="P17" s="8" t="s">
        <v>32</v>
      </c>
      <c r="R17" s="10" t="s">
        <v>38</v>
      </c>
      <c r="T17" s="7" t="str">
        <f aca="false">_xlfn.TEXTJOIN( , ,B17,C17)</f>
        <v>battery_roomSpot Cam - PTZ - 2 spot-cam-ptz.jpg</v>
      </c>
    </row>
    <row r="18" s="7" customFormat="true" ht="15.75" hidden="true" customHeight="true" outlineLevel="0" collapsed="false">
      <c r="A18" s="7" t="s">
        <v>20</v>
      </c>
      <c r="B18" s="7" t="s">
        <v>21</v>
      </c>
      <c r="C18" s="7" t="s">
        <v>61</v>
      </c>
      <c r="D18" s="7" t="s">
        <v>23</v>
      </c>
      <c r="E18" s="7" t="s">
        <v>39</v>
      </c>
      <c r="F18" s="7" t="s">
        <v>35</v>
      </c>
      <c r="G18" s="7" t="s">
        <v>36</v>
      </c>
      <c r="J18" s="7" t="n">
        <v>0</v>
      </c>
      <c r="K18" s="7" t="n">
        <v>10</v>
      </c>
      <c r="L18" s="7" t="n">
        <v>4</v>
      </c>
      <c r="M18" s="7" t="n">
        <v>9</v>
      </c>
      <c r="N18" s="10" t="s">
        <v>37</v>
      </c>
      <c r="O18" s="8" t="s">
        <v>26</v>
      </c>
      <c r="P18" s="8" t="s">
        <v>32</v>
      </c>
      <c r="R18" s="10" t="s">
        <v>38</v>
      </c>
      <c r="T18" s="7" t="str">
        <f aca="false">_xlfn.TEXTJOIN( , ,B18,C18)</f>
        <v>battery_roomSpot Cam - PTZ - 2 spot-cam-ptz.jpg</v>
      </c>
    </row>
    <row r="19" s="7" customFormat="true" ht="15.75" hidden="true" customHeight="true" outlineLevel="0" collapsed="false">
      <c r="A19" s="7" t="s">
        <v>20</v>
      </c>
      <c r="B19" s="7" t="s">
        <v>21</v>
      </c>
      <c r="C19" s="7" t="s">
        <v>62</v>
      </c>
      <c r="D19" s="7" t="s">
        <v>63</v>
      </c>
      <c r="F19" s="7" t="s">
        <v>64</v>
      </c>
      <c r="G19" s="7" t="s">
        <v>36</v>
      </c>
      <c r="J19" s="7" t="n">
        <v>-30</v>
      </c>
      <c r="K19" s="7" t="n">
        <v>50</v>
      </c>
      <c r="L19" s="7" t="n">
        <v>15</v>
      </c>
      <c r="M19" s="7" t="n">
        <v>25</v>
      </c>
      <c r="N19" s="7" t="s">
        <v>65</v>
      </c>
      <c r="O19" s="8" t="s">
        <v>45</v>
      </c>
      <c r="P19" s="8" t="s">
        <v>46</v>
      </c>
      <c r="Q19" s="8" t="s">
        <v>47</v>
      </c>
      <c r="T19" s="7" t="str">
        <f aca="false">_xlfn.TEXTJOIN( , ,B19,C19)</f>
        <v>battery_roomSpot Cam - PTZ - 3 spot-cam-ptz.jpg</v>
      </c>
    </row>
    <row r="20" s="7" customFormat="true" ht="15.75" hidden="true" customHeight="true" outlineLevel="0" collapsed="false">
      <c r="A20" s="7" t="s">
        <v>20</v>
      </c>
      <c r="B20" s="7" t="s">
        <v>21</v>
      </c>
      <c r="C20" s="7" t="s">
        <v>62</v>
      </c>
      <c r="D20" s="7" t="s">
        <v>63</v>
      </c>
      <c r="F20" s="7" t="s">
        <v>64</v>
      </c>
      <c r="G20" s="7" t="s">
        <v>36</v>
      </c>
      <c r="J20" s="7" t="n">
        <v>20</v>
      </c>
      <c r="K20" s="7" t="n">
        <v>100</v>
      </c>
      <c r="L20" s="7" t="n">
        <v>40</v>
      </c>
      <c r="M20" s="7" t="n">
        <v>70</v>
      </c>
      <c r="N20" s="7" t="s">
        <v>66</v>
      </c>
      <c r="O20" s="8" t="s">
        <v>45</v>
      </c>
      <c r="P20" s="8" t="s">
        <v>46</v>
      </c>
      <c r="Q20" s="8" t="s">
        <v>47</v>
      </c>
      <c r="T20" s="7" t="str">
        <f aca="false">_xlfn.TEXTJOIN( , ,B20,C20)</f>
        <v>battery_roomSpot Cam - PTZ - 3 spot-cam-ptz.jpg</v>
      </c>
    </row>
    <row r="21" s="7" customFormat="true" ht="15.75" hidden="false" customHeight="true" outlineLevel="0" collapsed="false">
      <c r="A21" s="7" t="s">
        <v>20</v>
      </c>
      <c r="B21" s="7" t="s">
        <v>21</v>
      </c>
      <c r="C21" s="7" t="s">
        <v>67</v>
      </c>
      <c r="D21" s="7" t="s">
        <v>41</v>
      </c>
      <c r="E21" s="7" t="s">
        <v>42</v>
      </c>
      <c r="F21" s="7" t="s">
        <v>43</v>
      </c>
      <c r="G21" s="7" t="s">
        <v>44</v>
      </c>
      <c r="O21" s="8" t="s">
        <v>45</v>
      </c>
      <c r="P21" s="8" t="s">
        <v>46</v>
      </c>
      <c r="Q21" s="8" t="s">
        <v>47</v>
      </c>
      <c r="S21" s="11" t="s">
        <v>48</v>
      </c>
      <c r="T21" s="7" t="str">
        <f aca="false">_xlfn.TEXTJOIN( , ,B21,C21)</f>
        <v>battery_roomSpot Cam - PTZ - 4 spot-cam-ptz.jpg</v>
      </c>
    </row>
    <row r="22" s="7" customFormat="true" ht="15.75" hidden="false" customHeight="true" outlineLevel="0" collapsed="false">
      <c r="A22" s="7" t="s">
        <v>20</v>
      </c>
      <c r="B22" s="7" t="s">
        <v>21</v>
      </c>
      <c r="C22" s="7" t="s">
        <v>68</v>
      </c>
      <c r="D22" s="7" t="s">
        <v>41</v>
      </c>
      <c r="E22" s="7" t="s">
        <v>42</v>
      </c>
      <c r="F22" s="7" t="s">
        <v>43</v>
      </c>
      <c r="G22" s="7" t="s">
        <v>44</v>
      </c>
      <c r="O22" s="8" t="s">
        <v>45</v>
      </c>
      <c r="P22" s="8" t="s">
        <v>46</v>
      </c>
      <c r="Q22" s="8" t="s">
        <v>47</v>
      </c>
      <c r="S22" s="11" t="s">
        <v>48</v>
      </c>
      <c r="T22" s="7" t="str">
        <f aca="false">_xlfn.TEXTJOIN( , ,B22,C22)</f>
        <v>battery_roomSpot Cam - PTZ - 5 spot-cam-ptz.jpg</v>
      </c>
    </row>
    <row r="23" s="7" customFormat="true" ht="15.75" hidden="false" customHeight="true" outlineLevel="0" collapsed="false">
      <c r="A23" s="7" t="s">
        <v>20</v>
      </c>
      <c r="B23" s="7" t="s">
        <v>21</v>
      </c>
      <c r="C23" s="7" t="s">
        <v>69</v>
      </c>
      <c r="D23" s="7" t="s">
        <v>41</v>
      </c>
      <c r="E23" s="7" t="s">
        <v>42</v>
      </c>
      <c r="F23" s="7" t="s">
        <v>43</v>
      </c>
      <c r="G23" s="7" t="s">
        <v>44</v>
      </c>
      <c r="O23" s="8" t="s">
        <v>45</v>
      </c>
      <c r="P23" s="8" t="s">
        <v>46</v>
      </c>
      <c r="Q23" s="8" t="s">
        <v>47</v>
      </c>
      <c r="S23" s="11" t="s">
        <v>48</v>
      </c>
      <c r="T23" s="7" t="str">
        <f aca="false">_xlfn.TEXTJOIN( , ,B23,C23)</f>
        <v>battery_roomSpot Cam - PTZ - 6 spot-cam-ptz.jpg</v>
      </c>
    </row>
    <row r="24" s="7" customFormat="true" ht="15.75" hidden="false" customHeight="true" outlineLevel="0" collapsed="false">
      <c r="A24" s="7" t="s">
        <v>20</v>
      </c>
      <c r="B24" s="7" t="s">
        <v>21</v>
      </c>
      <c r="C24" s="7" t="s">
        <v>70</v>
      </c>
      <c r="D24" s="7" t="s">
        <v>41</v>
      </c>
      <c r="E24" s="7" t="s">
        <v>42</v>
      </c>
      <c r="F24" s="7" t="s">
        <v>43</v>
      </c>
      <c r="G24" s="7" t="s">
        <v>44</v>
      </c>
      <c r="O24" s="8" t="s">
        <v>45</v>
      </c>
      <c r="P24" s="8" t="s">
        <v>46</v>
      </c>
      <c r="Q24" s="8" t="s">
        <v>47</v>
      </c>
      <c r="S24" s="11" t="s">
        <v>48</v>
      </c>
      <c r="T24" s="7" t="str">
        <f aca="false">_xlfn.TEXTJOIN( , ,B24,C24)</f>
        <v>battery_roomSpot Cam - PTZ - 7 spot-cam-ptz.jpg</v>
      </c>
    </row>
    <row r="25" s="7" customFormat="true" ht="15.75" hidden="true" customHeight="true" outlineLevel="0" collapsed="false">
      <c r="A25" s="7" t="s">
        <v>20</v>
      </c>
      <c r="B25" s="7" t="s">
        <v>21</v>
      </c>
      <c r="C25" s="7" t="s">
        <v>71</v>
      </c>
      <c r="D25" s="7" t="s">
        <v>23</v>
      </c>
      <c r="F25" s="7" t="s">
        <v>24</v>
      </c>
      <c r="G25" s="7" t="s">
        <v>25</v>
      </c>
      <c r="L25" s="10"/>
      <c r="T25" s="7" t="str">
        <f aca="false">_xlfn.TEXTJOIN( , ,B25,C25)</f>
        <v>battery_roomSpot Cam - PTZ - 8 spot-cam-ptz.jpg</v>
      </c>
    </row>
    <row r="26" s="7" customFormat="true" ht="15.75" hidden="true" customHeight="true" outlineLevel="0" collapsed="false">
      <c r="A26" s="7" t="s">
        <v>20</v>
      </c>
      <c r="B26" s="7" t="s">
        <v>21</v>
      </c>
      <c r="C26" s="7" t="s">
        <v>71</v>
      </c>
      <c r="D26" s="7" t="s">
        <v>23</v>
      </c>
      <c r="F26" s="7" t="s">
        <v>24</v>
      </c>
      <c r="G26" s="7" t="s">
        <v>25</v>
      </c>
      <c r="O26" s="8" t="s">
        <v>26</v>
      </c>
      <c r="P26" s="8" t="s">
        <v>53</v>
      </c>
      <c r="R26" s="10" t="s">
        <v>54</v>
      </c>
      <c r="T26" s="7" t="str">
        <f aca="false">_xlfn.TEXTJOIN( , ,B26,C26)</f>
        <v>battery_roomSpot Cam - PTZ - 8 spot-cam-ptz.jpg</v>
      </c>
    </row>
    <row r="27" s="7" customFormat="true" ht="15.75" hidden="true" customHeight="true" outlineLevel="0" collapsed="false">
      <c r="A27" s="7" t="s">
        <v>20</v>
      </c>
      <c r="B27" s="7" t="s">
        <v>21</v>
      </c>
      <c r="C27" s="7" t="s">
        <v>71</v>
      </c>
      <c r="D27" s="7" t="s">
        <v>23</v>
      </c>
      <c r="E27" s="7" t="s">
        <v>30</v>
      </c>
      <c r="F27" s="7" t="s">
        <v>31</v>
      </c>
      <c r="G27" s="7" t="s">
        <v>25</v>
      </c>
      <c r="O27" s="8" t="s">
        <v>26</v>
      </c>
      <c r="P27" s="8" t="s">
        <v>53</v>
      </c>
      <c r="R27" s="10" t="s">
        <v>72</v>
      </c>
      <c r="T27" s="7" t="str">
        <f aca="false">_xlfn.TEXTJOIN( , ,B27,C27)</f>
        <v>battery_roomSpot Cam - PTZ - 8 spot-cam-ptz.jpg</v>
      </c>
    </row>
    <row r="28" s="7" customFormat="true" ht="15.75" hidden="true" customHeight="true" outlineLevel="0" collapsed="false">
      <c r="A28" s="7" t="s">
        <v>20</v>
      </c>
      <c r="B28" s="7" t="s">
        <v>21</v>
      </c>
      <c r="C28" s="7" t="s">
        <v>73</v>
      </c>
      <c r="D28" s="7" t="s">
        <v>23</v>
      </c>
      <c r="F28" s="7" t="s">
        <v>24</v>
      </c>
      <c r="G28" s="7" t="s">
        <v>25</v>
      </c>
      <c r="L28" s="10"/>
      <c r="T28" s="7" t="str">
        <f aca="false">_xlfn.TEXTJOIN( , ,B28,C28)</f>
        <v>battery_roomSpot Cam - PTZ - 9 spot-cam-ptz.jpg</v>
      </c>
    </row>
    <row r="29" s="7" customFormat="true" ht="15.75" hidden="true" customHeight="true" outlineLevel="0" collapsed="false">
      <c r="A29" s="7" t="s">
        <v>20</v>
      </c>
      <c r="B29" s="7" t="s">
        <v>21</v>
      </c>
      <c r="C29" s="7" t="s">
        <v>73</v>
      </c>
      <c r="D29" s="7" t="s">
        <v>23</v>
      </c>
      <c r="F29" s="7" t="s">
        <v>24</v>
      </c>
      <c r="G29" s="7" t="s">
        <v>25</v>
      </c>
      <c r="O29" s="8" t="s">
        <v>26</v>
      </c>
      <c r="P29" s="8" t="s">
        <v>53</v>
      </c>
      <c r="R29" s="10" t="s">
        <v>54</v>
      </c>
      <c r="T29" s="7" t="str">
        <f aca="false">_xlfn.TEXTJOIN( , ,B29,C29)</f>
        <v>battery_roomSpot Cam - PTZ - 9 spot-cam-ptz.jpg</v>
      </c>
    </row>
    <row r="30" s="7" customFormat="true" ht="15.75" hidden="true" customHeight="true" outlineLevel="0" collapsed="false">
      <c r="A30" s="7" t="s">
        <v>20</v>
      </c>
      <c r="B30" s="7" t="s">
        <v>21</v>
      </c>
      <c r="C30" s="7" t="s">
        <v>73</v>
      </c>
      <c r="D30" s="7" t="s">
        <v>23</v>
      </c>
      <c r="E30" s="7" t="s">
        <v>30</v>
      </c>
      <c r="F30" s="7" t="s">
        <v>31</v>
      </c>
      <c r="G30" s="7" t="s">
        <v>25</v>
      </c>
      <c r="O30" s="8" t="s">
        <v>26</v>
      </c>
      <c r="P30" s="8" t="s">
        <v>53</v>
      </c>
      <c r="R30" s="10" t="s">
        <v>54</v>
      </c>
      <c r="T30" s="7" t="str">
        <f aca="false">_xlfn.TEXTJOIN( , ,B30,C30)</f>
        <v>battery_roomSpot Cam - PTZ - 9 spot-cam-ptz.jpg</v>
      </c>
    </row>
    <row r="31" s="7" customFormat="true" ht="15.75" hidden="true" customHeight="true" outlineLevel="0" collapsed="false">
      <c r="A31" s="7" t="s">
        <v>20</v>
      </c>
      <c r="B31" s="7" t="s">
        <v>74</v>
      </c>
      <c r="C31" s="7" t="s">
        <v>22</v>
      </c>
      <c r="D31" s="7" t="s">
        <v>23</v>
      </c>
      <c r="F31" s="7" t="s">
        <v>24</v>
      </c>
      <c r="G31" s="7" t="s">
        <v>25</v>
      </c>
      <c r="I31" s="8" t="s">
        <v>26</v>
      </c>
      <c r="J31" s="8" t="s">
        <v>53</v>
      </c>
      <c r="T31" s="7" t="str">
        <f aca="false">_xlfn.TEXTJOIN( , ,B31,C31)</f>
        <v>electrical_room_section2Spot Cam - PTZ - 1 spot-cam-ptz.jpg</v>
      </c>
    </row>
    <row r="32" s="7" customFormat="true" ht="15.75" hidden="true" customHeight="true" outlineLevel="0" collapsed="false">
      <c r="A32" s="7" t="s">
        <v>20</v>
      </c>
      <c r="B32" s="7" t="s">
        <v>74</v>
      </c>
      <c r="C32" s="7" t="s">
        <v>22</v>
      </c>
      <c r="D32" s="7" t="s">
        <v>23</v>
      </c>
      <c r="F32" s="7" t="s">
        <v>24</v>
      </c>
      <c r="G32" s="7" t="s">
        <v>25</v>
      </c>
      <c r="O32" s="8" t="s">
        <v>26</v>
      </c>
      <c r="P32" s="8" t="s">
        <v>53</v>
      </c>
      <c r="T32" s="7" t="str">
        <f aca="false">_xlfn.TEXTJOIN( , ,B32,C32)</f>
        <v>electrical_room_section2Spot Cam - PTZ - 1 spot-cam-ptz.jpg</v>
      </c>
    </row>
    <row r="33" s="7" customFormat="true" ht="15.75" hidden="true" customHeight="true" outlineLevel="0" collapsed="false">
      <c r="A33" s="7" t="s">
        <v>20</v>
      </c>
      <c r="B33" s="7" t="s">
        <v>74</v>
      </c>
      <c r="C33" s="7" t="s">
        <v>22</v>
      </c>
      <c r="D33" s="7" t="s">
        <v>23</v>
      </c>
      <c r="E33" s="7" t="s">
        <v>30</v>
      </c>
      <c r="F33" s="7" t="s">
        <v>31</v>
      </c>
      <c r="G33" s="7" t="s">
        <v>25</v>
      </c>
      <c r="O33" s="8" t="s">
        <v>26</v>
      </c>
      <c r="P33" s="8" t="s">
        <v>53</v>
      </c>
      <c r="T33" s="7" t="str">
        <f aca="false">_xlfn.TEXTJOIN( , ,B33,C33)</f>
        <v>electrical_room_section2Spot Cam - PTZ - 1 spot-cam-ptz.jpg</v>
      </c>
    </row>
    <row r="34" s="7" customFormat="true" ht="15.75" hidden="true" customHeight="true" outlineLevel="0" collapsed="false">
      <c r="A34" s="7" t="s">
        <v>20</v>
      </c>
      <c r="B34" s="7" t="s">
        <v>74</v>
      </c>
      <c r="C34" s="7" t="s">
        <v>33</v>
      </c>
      <c r="D34" s="10" t="s">
        <v>75</v>
      </c>
      <c r="E34" s="10" t="s">
        <v>76</v>
      </c>
      <c r="F34" s="7" t="s">
        <v>77</v>
      </c>
      <c r="G34" s="7" t="s">
        <v>78</v>
      </c>
      <c r="O34" s="8" t="s">
        <v>79</v>
      </c>
      <c r="P34" s="8" t="s">
        <v>80</v>
      </c>
      <c r="Q34" s="8" t="s">
        <v>81</v>
      </c>
      <c r="R34" s="10" t="s">
        <v>82</v>
      </c>
      <c r="T34" s="7" t="str">
        <f aca="false">_xlfn.TEXTJOIN( , ,B34,C34)</f>
        <v>electrical_room_section2Spot Cam - PTZ - 10 spot-cam-ptz.jpg</v>
      </c>
    </row>
    <row r="35" s="7" customFormat="true" ht="15.75" hidden="true" customHeight="true" outlineLevel="0" collapsed="false">
      <c r="A35" s="7" t="s">
        <v>20</v>
      </c>
      <c r="B35" s="7" t="s">
        <v>74</v>
      </c>
      <c r="C35" s="7" t="s">
        <v>33</v>
      </c>
      <c r="D35" s="10" t="s">
        <v>75</v>
      </c>
      <c r="E35" s="10" t="s">
        <v>83</v>
      </c>
      <c r="F35" s="7" t="s">
        <v>84</v>
      </c>
      <c r="G35" s="7" t="s">
        <v>78</v>
      </c>
      <c r="O35" s="8" t="s">
        <v>79</v>
      </c>
      <c r="P35" s="8" t="s">
        <v>80</v>
      </c>
      <c r="Q35" s="8" t="s">
        <v>81</v>
      </c>
      <c r="R35" s="10" t="s">
        <v>82</v>
      </c>
      <c r="T35" s="7" t="str">
        <f aca="false">_xlfn.TEXTJOIN( , ,B35,C35)</f>
        <v>electrical_room_section2Spot Cam - PTZ - 10 spot-cam-ptz.jpg</v>
      </c>
    </row>
    <row r="36" s="7" customFormat="true" ht="15.75" hidden="true" customHeight="true" outlineLevel="0" collapsed="false">
      <c r="A36" s="7" t="s">
        <v>20</v>
      </c>
      <c r="B36" s="7" t="s">
        <v>74</v>
      </c>
      <c r="C36" s="7" t="s">
        <v>33</v>
      </c>
      <c r="D36" s="10" t="s">
        <v>75</v>
      </c>
      <c r="E36" s="10" t="s">
        <v>85</v>
      </c>
      <c r="F36" s="7" t="s">
        <v>84</v>
      </c>
      <c r="G36" s="7" t="s">
        <v>78</v>
      </c>
      <c r="O36" s="8" t="s">
        <v>79</v>
      </c>
      <c r="P36" s="8" t="s">
        <v>80</v>
      </c>
      <c r="Q36" s="8" t="s">
        <v>81</v>
      </c>
      <c r="R36" s="10" t="s">
        <v>82</v>
      </c>
      <c r="T36" s="7" t="str">
        <f aca="false">_xlfn.TEXTJOIN( , ,B36,C36)</f>
        <v>electrical_room_section2Spot Cam - PTZ - 10 spot-cam-ptz.jpg</v>
      </c>
    </row>
    <row r="37" s="7" customFormat="true" ht="15.75" hidden="true" customHeight="true" outlineLevel="0" collapsed="false">
      <c r="A37" s="7" t="s">
        <v>20</v>
      </c>
      <c r="B37" s="7" t="s">
        <v>74</v>
      </c>
      <c r="C37" s="7" t="s">
        <v>33</v>
      </c>
      <c r="D37" s="10" t="s">
        <v>75</v>
      </c>
      <c r="E37" s="10" t="s">
        <v>86</v>
      </c>
      <c r="F37" s="7" t="s">
        <v>84</v>
      </c>
      <c r="G37" s="7" t="s">
        <v>78</v>
      </c>
      <c r="O37" s="8" t="s">
        <v>79</v>
      </c>
      <c r="P37" s="8" t="s">
        <v>80</v>
      </c>
      <c r="Q37" s="8" t="s">
        <v>81</v>
      </c>
      <c r="R37" s="10" t="s">
        <v>82</v>
      </c>
      <c r="T37" s="7" t="str">
        <f aca="false">_xlfn.TEXTJOIN( , ,B37,C37)</f>
        <v>electrical_room_section2Spot Cam - PTZ - 10 spot-cam-ptz.jpg</v>
      </c>
    </row>
    <row r="38" s="7" customFormat="true" ht="15.75" hidden="true" customHeight="true" outlineLevel="0" collapsed="false">
      <c r="A38" s="7" t="s">
        <v>20</v>
      </c>
      <c r="B38" s="7" t="s">
        <v>74</v>
      </c>
      <c r="C38" s="7" t="s">
        <v>33</v>
      </c>
      <c r="D38" s="10" t="s">
        <v>75</v>
      </c>
      <c r="E38" s="10" t="s">
        <v>87</v>
      </c>
      <c r="F38" s="7" t="s">
        <v>88</v>
      </c>
      <c r="G38" s="7" t="s">
        <v>78</v>
      </c>
      <c r="O38" s="8" t="s">
        <v>79</v>
      </c>
      <c r="P38" s="8" t="s">
        <v>80</v>
      </c>
      <c r="Q38" s="8" t="s">
        <v>81</v>
      </c>
      <c r="R38" s="10" t="s">
        <v>82</v>
      </c>
      <c r="T38" s="7" t="str">
        <f aca="false">_xlfn.TEXTJOIN( , ,B38,C38)</f>
        <v>electrical_room_section2Spot Cam - PTZ - 10 spot-cam-ptz.jpg</v>
      </c>
    </row>
    <row r="39" s="7" customFormat="true" ht="15.75" hidden="true" customHeight="true" outlineLevel="0" collapsed="false">
      <c r="A39" s="7" t="s">
        <v>20</v>
      </c>
      <c r="B39" s="7" t="s">
        <v>74</v>
      </c>
      <c r="C39" s="7" t="s">
        <v>33</v>
      </c>
      <c r="D39" s="10" t="s">
        <v>75</v>
      </c>
      <c r="E39" s="10" t="s">
        <v>89</v>
      </c>
      <c r="F39" s="7" t="s">
        <v>90</v>
      </c>
      <c r="G39" s="7" t="s">
        <v>78</v>
      </c>
      <c r="O39" s="8" t="s">
        <v>79</v>
      </c>
      <c r="P39" s="8" t="s">
        <v>80</v>
      </c>
      <c r="Q39" s="8" t="s">
        <v>81</v>
      </c>
      <c r="R39" s="10" t="s">
        <v>82</v>
      </c>
      <c r="T39" s="7" t="str">
        <f aca="false">_xlfn.TEXTJOIN( , ,B39,C39)</f>
        <v>electrical_room_section2Spot Cam - PTZ - 10 spot-cam-ptz.jpg</v>
      </c>
    </row>
    <row r="40" s="7" customFormat="true" ht="15.75" hidden="true" customHeight="true" outlineLevel="0" collapsed="false">
      <c r="A40" s="7" t="s">
        <v>20</v>
      </c>
      <c r="B40" s="7" t="s">
        <v>74</v>
      </c>
      <c r="C40" s="7" t="s">
        <v>40</v>
      </c>
      <c r="D40" s="10" t="s">
        <v>91</v>
      </c>
      <c r="E40" s="10" t="s">
        <v>92</v>
      </c>
      <c r="F40" s="7" t="s">
        <v>93</v>
      </c>
      <c r="G40" s="7" t="s">
        <v>78</v>
      </c>
      <c r="O40" s="8" t="s">
        <v>79</v>
      </c>
      <c r="P40" s="8" t="s">
        <v>80</v>
      </c>
      <c r="Q40" s="8" t="s">
        <v>81</v>
      </c>
      <c r="R40" s="10" t="s">
        <v>82</v>
      </c>
      <c r="T40" s="7" t="str">
        <f aca="false">_xlfn.TEXTJOIN( , ,B40,C40)</f>
        <v>electrical_room_section2Spot Cam - PTZ - 11 spot-cam-ptz.jpg</v>
      </c>
    </row>
    <row r="41" s="7" customFormat="true" ht="15.75" hidden="true" customHeight="true" outlineLevel="0" collapsed="false">
      <c r="A41" s="7" t="s">
        <v>20</v>
      </c>
      <c r="B41" s="7" t="s">
        <v>74</v>
      </c>
      <c r="C41" s="7" t="s">
        <v>49</v>
      </c>
      <c r="D41" s="10" t="s">
        <v>91</v>
      </c>
      <c r="E41" s="10" t="s">
        <v>76</v>
      </c>
      <c r="F41" s="7" t="s">
        <v>94</v>
      </c>
      <c r="G41" s="7" t="s">
        <v>78</v>
      </c>
      <c r="O41" s="8" t="s">
        <v>79</v>
      </c>
      <c r="P41" s="8" t="s">
        <v>80</v>
      </c>
      <c r="Q41" s="8" t="s">
        <v>81</v>
      </c>
      <c r="R41" s="10" t="s">
        <v>82</v>
      </c>
      <c r="T41" s="7" t="str">
        <f aca="false">_xlfn.TEXTJOIN( , ,B41,C41)</f>
        <v>electrical_room_section2Spot Cam - PTZ - 12 spot-cam-ptz.jpg</v>
      </c>
    </row>
    <row r="42" s="7" customFormat="true" ht="15.75" hidden="true" customHeight="true" outlineLevel="0" collapsed="false">
      <c r="A42" s="7" t="s">
        <v>20</v>
      </c>
      <c r="B42" s="7" t="s">
        <v>74</v>
      </c>
      <c r="C42" s="7" t="s">
        <v>49</v>
      </c>
      <c r="D42" s="10" t="s">
        <v>91</v>
      </c>
      <c r="E42" s="10" t="s">
        <v>87</v>
      </c>
      <c r="F42" s="7" t="s">
        <v>95</v>
      </c>
      <c r="G42" s="7" t="s">
        <v>78</v>
      </c>
      <c r="O42" s="8" t="s">
        <v>79</v>
      </c>
      <c r="P42" s="8" t="s">
        <v>80</v>
      </c>
      <c r="Q42" s="8" t="s">
        <v>81</v>
      </c>
      <c r="R42" s="10" t="s">
        <v>82</v>
      </c>
      <c r="T42" s="7" t="str">
        <f aca="false">_xlfn.TEXTJOIN( , ,B42,C42)</f>
        <v>electrical_room_section2Spot Cam - PTZ - 12 spot-cam-ptz.jpg</v>
      </c>
    </row>
    <row r="43" s="7" customFormat="true" ht="15.75" hidden="true" customHeight="true" outlineLevel="0" collapsed="false">
      <c r="A43" s="7" t="s">
        <v>20</v>
      </c>
      <c r="B43" s="7" t="s">
        <v>74</v>
      </c>
      <c r="C43" s="7" t="s">
        <v>49</v>
      </c>
      <c r="D43" s="10" t="s">
        <v>91</v>
      </c>
      <c r="E43" s="10" t="s">
        <v>96</v>
      </c>
      <c r="F43" s="7" t="s">
        <v>90</v>
      </c>
      <c r="G43" s="7" t="s">
        <v>78</v>
      </c>
      <c r="O43" s="8" t="s">
        <v>79</v>
      </c>
      <c r="P43" s="8" t="s">
        <v>80</v>
      </c>
      <c r="Q43" s="8" t="s">
        <v>81</v>
      </c>
      <c r="R43" s="10" t="s">
        <v>82</v>
      </c>
      <c r="T43" s="7" t="str">
        <f aca="false">_xlfn.TEXTJOIN( , ,B43,C43)</f>
        <v>electrical_room_section2Spot Cam - PTZ - 12 spot-cam-ptz.jpg</v>
      </c>
    </row>
    <row r="44" s="7" customFormat="true" ht="15.75" hidden="true" customHeight="true" outlineLevel="0" collapsed="false">
      <c r="A44" s="7" t="s">
        <v>20</v>
      </c>
      <c r="B44" s="7" t="s">
        <v>74</v>
      </c>
      <c r="C44" s="7" t="s">
        <v>50</v>
      </c>
      <c r="D44" s="10" t="s">
        <v>97</v>
      </c>
      <c r="E44" s="10" t="s">
        <v>76</v>
      </c>
      <c r="F44" s="7" t="s">
        <v>94</v>
      </c>
      <c r="G44" s="7" t="s">
        <v>78</v>
      </c>
      <c r="O44" s="8" t="s">
        <v>79</v>
      </c>
      <c r="P44" s="8" t="s">
        <v>80</v>
      </c>
      <c r="Q44" s="8" t="s">
        <v>81</v>
      </c>
      <c r="R44" s="10" t="s">
        <v>82</v>
      </c>
      <c r="T44" s="7" t="str">
        <f aca="false">_xlfn.TEXTJOIN( , ,B44,C44)</f>
        <v>electrical_room_section2Spot Cam - PTZ - 13 spot-cam-ptz.jpg</v>
      </c>
    </row>
    <row r="45" s="7" customFormat="true" ht="15.75" hidden="true" customHeight="true" outlineLevel="0" collapsed="false">
      <c r="A45" s="7" t="s">
        <v>20</v>
      </c>
      <c r="B45" s="7" t="s">
        <v>74</v>
      </c>
      <c r="C45" s="7" t="s">
        <v>50</v>
      </c>
      <c r="D45" s="10" t="s">
        <v>97</v>
      </c>
      <c r="E45" s="10" t="s">
        <v>87</v>
      </c>
      <c r="F45" s="7" t="s">
        <v>95</v>
      </c>
      <c r="G45" s="7" t="s">
        <v>78</v>
      </c>
      <c r="O45" s="8" t="s">
        <v>79</v>
      </c>
      <c r="P45" s="8" t="s">
        <v>80</v>
      </c>
      <c r="Q45" s="8" t="s">
        <v>81</v>
      </c>
      <c r="R45" s="10" t="s">
        <v>82</v>
      </c>
      <c r="T45" s="7" t="str">
        <f aca="false">_xlfn.TEXTJOIN( , ,B45,C45)</f>
        <v>electrical_room_section2Spot Cam - PTZ - 13 spot-cam-ptz.jpg</v>
      </c>
    </row>
    <row r="46" s="7" customFormat="true" ht="15.75" hidden="true" customHeight="true" outlineLevel="0" collapsed="false">
      <c r="A46" s="7" t="s">
        <v>20</v>
      </c>
      <c r="B46" s="7" t="s">
        <v>74</v>
      </c>
      <c r="C46" s="7" t="s">
        <v>50</v>
      </c>
      <c r="D46" s="10" t="s">
        <v>97</v>
      </c>
      <c r="E46" s="10" t="s">
        <v>96</v>
      </c>
      <c r="F46" s="7" t="s">
        <v>90</v>
      </c>
      <c r="G46" s="7" t="s">
        <v>78</v>
      </c>
      <c r="O46" s="8" t="s">
        <v>79</v>
      </c>
      <c r="P46" s="8" t="s">
        <v>80</v>
      </c>
      <c r="Q46" s="8" t="s">
        <v>81</v>
      </c>
      <c r="R46" s="10" t="s">
        <v>82</v>
      </c>
      <c r="T46" s="7" t="str">
        <f aca="false">_xlfn.TEXTJOIN( , ,B46,C46)</f>
        <v>electrical_room_section2Spot Cam - PTZ - 13 spot-cam-ptz.jpg</v>
      </c>
    </row>
    <row r="47" s="7" customFormat="true" ht="15.75" hidden="true" customHeight="true" outlineLevel="0" collapsed="false">
      <c r="A47" s="7" t="s">
        <v>20</v>
      </c>
      <c r="B47" s="7" t="s">
        <v>74</v>
      </c>
      <c r="C47" s="7" t="s">
        <v>51</v>
      </c>
      <c r="D47" s="10" t="s">
        <v>98</v>
      </c>
      <c r="E47" s="10" t="s">
        <v>83</v>
      </c>
      <c r="F47" s="7" t="s">
        <v>84</v>
      </c>
      <c r="G47" s="7" t="s">
        <v>78</v>
      </c>
      <c r="O47" s="8" t="s">
        <v>79</v>
      </c>
      <c r="P47" s="8" t="s">
        <v>80</v>
      </c>
      <c r="Q47" s="8" t="s">
        <v>81</v>
      </c>
      <c r="R47" s="10" t="s">
        <v>82</v>
      </c>
      <c r="T47" s="7" t="str">
        <f aca="false">_xlfn.TEXTJOIN( , ,B47,C47)</f>
        <v>electrical_room_section2Spot Cam - PTZ - 14 spot-cam-ptz.jpg</v>
      </c>
    </row>
    <row r="48" s="7" customFormat="true" ht="15.75" hidden="true" customHeight="true" outlineLevel="0" collapsed="false">
      <c r="A48" s="7" t="s">
        <v>20</v>
      </c>
      <c r="B48" s="7" t="s">
        <v>74</v>
      </c>
      <c r="C48" s="7" t="s">
        <v>51</v>
      </c>
      <c r="D48" s="10" t="s">
        <v>98</v>
      </c>
      <c r="E48" s="10" t="s">
        <v>85</v>
      </c>
      <c r="F48" s="7" t="s">
        <v>84</v>
      </c>
      <c r="G48" s="7" t="s">
        <v>78</v>
      </c>
      <c r="O48" s="8" t="s">
        <v>79</v>
      </c>
      <c r="P48" s="8" t="s">
        <v>80</v>
      </c>
      <c r="Q48" s="8" t="s">
        <v>81</v>
      </c>
      <c r="R48" s="10" t="s">
        <v>82</v>
      </c>
      <c r="T48" s="7" t="str">
        <f aca="false">_xlfn.TEXTJOIN( , ,B48,C48)</f>
        <v>electrical_room_section2Spot Cam - PTZ - 14 spot-cam-ptz.jpg</v>
      </c>
    </row>
    <row r="49" s="7" customFormat="true" ht="15.75" hidden="true" customHeight="true" outlineLevel="0" collapsed="false">
      <c r="A49" s="7" t="s">
        <v>20</v>
      </c>
      <c r="B49" s="7" t="s">
        <v>74</v>
      </c>
      <c r="C49" s="7" t="s">
        <v>51</v>
      </c>
      <c r="D49" s="10" t="s">
        <v>98</v>
      </c>
      <c r="E49" s="10" t="s">
        <v>99</v>
      </c>
      <c r="F49" s="7" t="s">
        <v>84</v>
      </c>
      <c r="G49" s="7" t="s">
        <v>78</v>
      </c>
      <c r="O49" s="8" t="s">
        <v>79</v>
      </c>
      <c r="P49" s="8" t="s">
        <v>80</v>
      </c>
      <c r="Q49" s="8" t="s">
        <v>81</v>
      </c>
      <c r="R49" s="10" t="s">
        <v>82</v>
      </c>
      <c r="T49" s="7" t="str">
        <f aca="false">_xlfn.TEXTJOIN( , ,B49,C49)</f>
        <v>electrical_room_section2Spot Cam - PTZ - 14 spot-cam-ptz.jpg</v>
      </c>
    </row>
    <row r="50" s="7" customFormat="true" ht="15.75" hidden="true" customHeight="true" outlineLevel="0" collapsed="false">
      <c r="A50" s="7" t="s">
        <v>20</v>
      </c>
      <c r="B50" s="7" t="s">
        <v>74</v>
      </c>
      <c r="C50" s="7" t="s">
        <v>51</v>
      </c>
      <c r="D50" s="10" t="s">
        <v>98</v>
      </c>
      <c r="E50" s="10" t="s">
        <v>100</v>
      </c>
      <c r="F50" s="7" t="s">
        <v>84</v>
      </c>
      <c r="G50" s="7" t="s">
        <v>78</v>
      </c>
      <c r="O50" s="8" t="s">
        <v>79</v>
      </c>
      <c r="P50" s="8" t="s">
        <v>80</v>
      </c>
      <c r="Q50" s="8" t="s">
        <v>81</v>
      </c>
      <c r="R50" s="10" t="s">
        <v>82</v>
      </c>
      <c r="T50" s="7" t="str">
        <f aca="false">_xlfn.TEXTJOIN( , ,B50,C50)</f>
        <v>electrical_room_section2Spot Cam - PTZ - 14 spot-cam-ptz.jpg</v>
      </c>
    </row>
    <row r="51" s="7" customFormat="true" ht="15.75" hidden="true" customHeight="true" outlineLevel="0" collapsed="false">
      <c r="A51" s="7" t="s">
        <v>20</v>
      </c>
      <c r="B51" s="7" t="s">
        <v>74</v>
      </c>
      <c r="C51" s="7" t="s">
        <v>51</v>
      </c>
      <c r="D51" s="10" t="s">
        <v>98</v>
      </c>
      <c r="E51" s="10" t="s">
        <v>92</v>
      </c>
      <c r="F51" s="7" t="s">
        <v>93</v>
      </c>
      <c r="G51" s="7" t="s">
        <v>78</v>
      </c>
      <c r="O51" s="8" t="s">
        <v>79</v>
      </c>
      <c r="P51" s="8" t="s">
        <v>80</v>
      </c>
      <c r="Q51" s="8" t="s">
        <v>81</v>
      </c>
      <c r="R51" s="10" t="s">
        <v>82</v>
      </c>
      <c r="T51" s="7" t="str">
        <f aca="false">_xlfn.TEXTJOIN( , ,B51,C51)</f>
        <v>electrical_room_section2Spot Cam - PTZ - 14 spot-cam-ptz.jpg</v>
      </c>
    </row>
    <row r="52" s="7" customFormat="true" ht="15.75" hidden="true" customHeight="true" outlineLevel="0" collapsed="false">
      <c r="A52" s="7" t="s">
        <v>20</v>
      </c>
      <c r="B52" s="7" t="s">
        <v>74</v>
      </c>
      <c r="C52" s="7" t="s">
        <v>52</v>
      </c>
      <c r="D52" s="10" t="s">
        <v>98</v>
      </c>
      <c r="E52" s="10" t="s">
        <v>76</v>
      </c>
      <c r="F52" s="7" t="s">
        <v>94</v>
      </c>
      <c r="G52" s="7" t="s">
        <v>78</v>
      </c>
      <c r="O52" s="8" t="s">
        <v>79</v>
      </c>
      <c r="P52" s="8" t="s">
        <v>80</v>
      </c>
      <c r="Q52" s="8" t="s">
        <v>81</v>
      </c>
      <c r="R52" s="10" t="s">
        <v>82</v>
      </c>
      <c r="T52" s="7" t="str">
        <f aca="false">_xlfn.TEXTJOIN( , ,B52,C52)</f>
        <v>electrical_room_section2Spot Cam - PTZ - 15 spot-cam-ptz.jpg</v>
      </c>
    </row>
    <row r="53" s="7" customFormat="true" ht="15.75" hidden="true" customHeight="true" outlineLevel="0" collapsed="false">
      <c r="A53" s="7" t="s">
        <v>20</v>
      </c>
      <c r="B53" s="7" t="s">
        <v>74</v>
      </c>
      <c r="C53" s="7" t="s">
        <v>52</v>
      </c>
      <c r="D53" s="10" t="s">
        <v>98</v>
      </c>
      <c r="E53" s="10" t="s">
        <v>87</v>
      </c>
      <c r="F53" s="7" t="s">
        <v>95</v>
      </c>
      <c r="G53" s="7" t="s">
        <v>78</v>
      </c>
      <c r="O53" s="8" t="s">
        <v>79</v>
      </c>
      <c r="P53" s="8" t="s">
        <v>80</v>
      </c>
      <c r="Q53" s="8" t="s">
        <v>81</v>
      </c>
      <c r="R53" s="10" t="s">
        <v>82</v>
      </c>
      <c r="T53" s="7" t="str">
        <f aca="false">_xlfn.TEXTJOIN( , ,B53,C53)</f>
        <v>electrical_room_section2Spot Cam - PTZ - 15 spot-cam-ptz.jpg</v>
      </c>
    </row>
    <row r="54" s="7" customFormat="true" ht="15.75" hidden="true" customHeight="true" outlineLevel="0" collapsed="false">
      <c r="A54" s="7" t="s">
        <v>20</v>
      </c>
      <c r="B54" s="7" t="s">
        <v>74</v>
      </c>
      <c r="C54" s="7" t="s">
        <v>52</v>
      </c>
      <c r="D54" s="10" t="s">
        <v>98</v>
      </c>
      <c r="E54" s="10" t="s">
        <v>96</v>
      </c>
      <c r="F54" s="7" t="s">
        <v>101</v>
      </c>
      <c r="G54" s="7" t="s">
        <v>102</v>
      </c>
      <c r="O54" s="8" t="s">
        <v>79</v>
      </c>
      <c r="P54" s="8" t="s">
        <v>80</v>
      </c>
      <c r="Q54" s="8" t="s">
        <v>81</v>
      </c>
      <c r="R54" s="10" t="s">
        <v>82</v>
      </c>
      <c r="T54" s="7" t="str">
        <f aca="false">_xlfn.TEXTJOIN( , ,B54,C54)</f>
        <v>electrical_room_section2Spot Cam - PTZ - 15 spot-cam-ptz.jpg</v>
      </c>
    </row>
    <row r="55" s="7" customFormat="true" ht="15.75" hidden="true" customHeight="true" outlineLevel="0" collapsed="false">
      <c r="A55" s="7" t="s">
        <v>20</v>
      </c>
      <c r="B55" s="7" t="s">
        <v>74</v>
      </c>
      <c r="C55" s="7" t="s">
        <v>52</v>
      </c>
      <c r="D55" s="10" t="s">
        <v>98</v>
      </c>
      <c r="E55" s="10" t="s">
        <v>103</v>
      </c>
      <c r="F55" s="7" t="s">
        <v>104</v>
      </c>
      <c r="G55" s="7" t="s">
        <v>102</v>
      </c>
      <c r="O55" s="8" t="s">
        <v>79</v>
      </c>
      <c r="P55" s="8" t="s">
        <v>80</v>
      </c>
      <c r="Q55" s="8" t="s">
        <v>81</v>
      </c>
      <c r="R55" s="10" t="s">
        <v>82</v>
      </c>
      <c r="T55" s="7" t="str">
        <f aca="false">_xlfn.TEXTJOIN( , ,B55,C55)</f>
        <v>electrical_room_section2Spot Cam - PTZ - 15 spot-cam-ptz.jpg</v>
      </c>
    </row>
    <row r="56" s="7" customFormat="true" ht="15.75" hidden="true" customHeight="true" outlineLevel="0" collapsed="false">
      <c r="A56" s="7" t="s">
        <v>20</v>
      </c>
      <c r="B56" s="7" t="s">
        <v>74</v>
      </c>
      <c r="C56" s="7" t="s">
        <v>55</v>
      </c>
      <c r="D56" s="10" t="s">
        <v>98</v>
      </c>
      <c r="E56" s="7" t="s">
        <v>105</v>
      </c>
      <c r="F56" s="7" t="s">
        <v>106</v>
      </c>
      <c r="G56" s="7" t="s">
        <v>78</v>
      </c>
      <c r="O56" s="8" t="s">
        <v>79</v>
      </c>
      <c r="P56" s="8" t="s">
        <v>80</v>
      </c>
      <c r="Q56" s="8" t="s">
        <v>81</v>
      </c>
      <c r="R56" s="10" t="s">
        <v>82</v>
      </c>
      <c r="T56" s="7" t="str">
        <f aca="false">_xlfn.TEXTJOIN( , ,B56,C56)</f>
        <v>electrical_room_section2Spot Cam - PTZ - 16 spot-cam-ptz.jpg</v>
      </c>
    </row>
    <row r="57" s="7" customFormat="true" ht="15.75" hidden="true" customHeight="true" outlineLevel="0" collapsed="false">
      <c r="A57" s="7" t="s">
        <v>20</v>
      </c>
      <c r="B57" s="7" t="s">
        <v>74</v>
      </c>
      <c r="C57" s="7" t="s">
        <v>56</v>
      </c>
      <c r="D57" s="10" t="s">
        <v>107</v>
      </c>
      <c r="E57" s="10" t="s">
        <v>83</v>
      </c>
      <c r="F57" s="7" t="s">
        <v>84</v>
      </c>
      <c r="G57" s="7" t="s">
        <v>78</v>
      </c>
      <c r="O57" s="8" t="s">
        <v>79</v>
      </c>
      <c r="P57" s="8" t="s">
        <v>80</v>
      </c>
      <c r="Q57" s="8" t="s">
        <v>81</v>
      </c>
      <c r="R57" s="10" t="s">
        <v>82</v>
      </c>
      <c r="T57" s="7" t="str">
        <f aca="false">_xlfn.TEXTJOIN( , ,B57,C57)</f>
        <v>electrical_room_section2Spot Cam - PTZ - 17 spot-cam-ptz.jpg</v>
      </c>
    </row>
    <row r="58" s="7" customFormat="true" ht="15.75" hidden="true" customHeight="true" outlineLevel="0" collapsed="false">
      <c r="A58" s="7" t="s">
        <v>20</v>
      </c>
      <c r="B58" s="7" t="s">
        <v>74</v>
      </c>
      <c r="C58" s="7" t="s">
        <v>56</v>
      </c>
      <c r="D58" s="10" t="s">
        <v>107</v>
      </c>
      <c r="E58" s="10" t="s">
        <v>85</v>
      </c>
      <c r="F58" s="7" t="s">
        <v>84</v>
      </c>
      <c r="G58" s="7" t="s">
        <v>78</v>
      </c>
      <c r="O58" s="8" t="s">
        <v>79</v>
      </c>
      <c r="P58" s="8" t="s">
        <v>80</v>
      </c>
      <c r="Q58" s="8" t="s">
        <v>81</v>
      </c>
      <c r="R58" s="10" t="s">
        <v>82</v>
      </c>
      <c r="T58" s="7" t="str">
        <f aca="false">_xlfn.TEXTJOIN( , ,B58,C58)</f>
        <v>electrical_room_section2Spot Cam - PTZ - 17 spot-cam-ptz.jpg</v>
      </c>
    </row>
    <row r="59" s="7" customFormat="true" ht="15.75" hidden="true" customHeight="true" outlineLevel="0" collapsed="false">
      <c r="A59" s="7" t="s">
        <v>20</v>
      </c>
      <c r="B59" s="7" t="s">
        <v>74</v>
      </c>
      <c r="C59" s="7" t="s">
        <v>56</v>
      </c>
      <c r="D59" s="10" t="s">
        <v>107</v>
      </c>
      <c r="E59" s="10" t="s">
        <v>86</v>
      </c>
      <c r="F59" s="7" t="s">
        <v>84</v>
      </c>
      <c r="G59" s="7" t="s">
        <v>78</v>
      </c>
      <c r="O59" s="8" t="s">
        <v>79</v>
      </c>
      <c r="P59" s="8" t="s">
        <v>80</v>
      </c>
      <c r="Q59" s="8" t="s">
        <v>81</v>
      </c>
      <c r="R59" s="10" t="s">
        <v>82</v>
      </c>
      <c r="T59" s="7" t="str">
        <f aca="false">_xlfn.TEXTJOIN( , ,B59,C59)</f>
        <v>electrical_room_section2Spot Cam - PTZ - 17 spot-cam-ptz.jpg</v>
      </c>
    </row>
    <row r="60" s="7" customFormat="true" ht="15.75" hidden="true" customHeight="true" outlineLevel="0" collapsed="false">
      <c r="A60" s="7" t="s">
        <v>20</v>
      </c>
      <c r="B60" s="7" t="s">
        <v>74</v>
      </c>
      <c r="C60" s="7" t="s">
        <v>56</v>
      </c>
      <c r="D60" s="10" t="s">
        <v>107</v>
      </c>
      <c r="E60" s="10" t="s">
        <v>92</v>
      </c>
      <c r="F60" s="7" t="s">
        <v>93</v>
      </c>
      <c r="G60" s="7" t="s">
        <v>78</v>
      </c>
      <c r="O60" s="8" t="s">
        <v>79</v>
      </c>
      <c r="P60" s="8" t="s">
        <v>80</v>
      </c>
      <c r="Q60" s="8" t="s">
        <v>81</v>
      </c>
      <c r="R60" s="10" t="s">
        <v>82</v>
      </c>
      <c r="T60" s="7" t="str">
        <f aca="false">_xlfn.TEXTJOIN( , ,B60,C60)</f>
        <v>electrical_room_section2Spot Cam - PTZ - 17 spot-cam-ptz.jpg</v>
      </c>
    </row>
    <row r="61" s="7" customFormat="true" ht="15.75" hidden="true" customHeight="true" outlineLevel="0" collapsed="false">
      <c r="A61" s="7" t="s">
        <v>20</v>
      </c>
      <c r="B61" s="7" t="s">
        <v>74</v>
      </c>
      <c r="C61" s="7" t="s">
        <v>108</v>
      </c>
      <c r="D61" s="10" t="s">
        <v>107</v>
      </c>
      <c r="E61" s="10" t="s">
        <v>76</v>
      </c>
      <c r="F61" s="7" t="s">
        <v>94</v>
      </c>
      <c r="G61" s="7" t="s">
        <v>78</v>
      </c>
      <c r="O61" s="8" t="s">
        <v>79</v>
      </c>
      <c r="P61" s="8" t="s">
        <v>80</v>
      </c>
      <c r="Q61" s="8" t="s">
        <v>81</v>
      </c>
      <c r="R61" s="10" t="s">
        <v>82</v>
      </c>
      <c r="T61" s="7" t="str">
        <f aca="false">_xlfn.TEXTJOIN( , ,B61,C61)</f>
        <v>electrical_room_section2Spot Cam - PTZ - 18 spot-cam-ptz.jpg</v>
      </c>
    </row>
    <row r="62" s="7" customFormat="true" ht="15.75" hidden="true" customHeight="true" outlineLevel="0" collapsed="false">
      <c r="A62" s="7" t="s">
        <v>20</v>
      </c>
      <c r="B62" s="7" t="s">
        <v>74</v>
      </c>
      <c r="C62" s="7" t="s">
        <v>108</v>
      </c>
      <c r="D62" s="10" t="s">
        <v>107</v>
      </c>
      <c r="E62" s="10" t="s">
        <v>87</v>
      </c>
      <c r="F62" s="7" t="s">
        <v>95</v>
      </c>
      <c r="G62" s="7" t="s">
        <v>78</v>
      </c>
      <c r="O62" s="8" t="s">
        <v>79</v>
      </c>
      <c r="P62" s="8" t="s">
        <v>80</v>
      </c>
      <c r="Q62" s="8" t="s">
        <v>81</v>
      </c>
      <c r="R62" s="10" t="s">
        <v>82</v>
      </c>
      <c r="T62" s="7" t="str">
        <f aca="false">_xlfn.TEXTJOIN( , ,B62,C62)</f>
        <v>electrical_room_section2Spot Cam - PTZ - 18 spot-cam-ptz.jpg</v>
      </c>
    </row>
    <row r="63" s="7" customFormat="true" ht="15" hidden="true" customHeight="true" outlineLevel="0" collapsed="false">
      <c r="A63" s="7" t="s">
        <v>20</v>
      </c>
      <c r="B63" s="7" t="s">
        <v>74</v>
      </c>
      <c r="C63" s="7" t="s">
        <v>108</v>
      </c>
      <c r="D63" s="10" t="s">
        <v>107</v>
      </c>
      <c r="E63" s="10" t="s">
        <v>89</v>
      </c>
      <c r="F63" s="7" t="s">
        <v>101</v>
      </c>
      <c r="G63" s="7" t="s">
        <v>102</v>
      </c>
      <c r="O63" s="8" t="s">
        <v>79</v>
      </c>
      <c r="P63" s="8" t="s">
        <v>80</v>
      </c>
      <c r="Q63" s="8" t="s">
        <v>81</v>
      </c>
      <c r="R63" s="10" t="s">
        <v>82</v>
      </c>
      <c r="T63" s="7" t="str">
        <f aca="false">_xlfn.TEXTJOIN( , ,B63,C63)</f>
        <v>electrical_room_section2Spot Cam - PTZ - 18 spot-cam-ptz.jpg</v>
      </c>
    </row>
    <row r="64" s="7" customFormat="true" ht="15" hidden="true" customHeight="true" outlineLevel="0" collapsed="false">
      <c r="A64" s="7" t="s">
        <v>20</v>
      </c>
      <c r="B64" s="7" t="s">
        <v>74</v>
      </c>
      <c r="C64" s="7" t="s">
        <v>61</v>
      </c>
      <c r="D64" s="7" t="s">
        <v>23</v>
      </c>
      <c r="E64" s="7" t="s">
        <v>34</v>
      </c>
      <c r="F64" s="7" t="s">
        <v>35</v>
      </c>
      <c r="G64" s="7" t="s">
        <v>36</v>
      </c>
      <c r="J64" s="7" t="n">
        <v>0</v>
      </c>
      <c r="K64" s="7" t="n">
        <v>10</v>
      </c>
      <c r="L64" s="7" t="n">
        <v>4</v>
      </c>
      <c r="M64" s="7" t="n">
        <v>9</v>
      </c>
      <c r="N64" s="10" t="s">
        <v>37</v>
      </c>
      <c r="O64" s="8" t="s">
        <v>26</v>
      </c>
      <c r="P64" s="8" t="s">
        <v>32</v>
      </c>
      <c r="R64" s="10" t="s">
        <v>38</v>
      </c>
      <c r="T64" s="7" t="str">
        <f aca="false">_xlfn.TEXTJOIN( , ,B64,C64)</f>
        <v>electrical_room_section2Spot Cam - PTZ - 2 spot-cam-ptz.jpg</v>
      </c>
    </row>
    <row r="65" s="7" customFormat="true" ht="15.75" hidden="true" customHeight="true" outlineLevel="0" collapsed="false">
      <c r="A65" s="7" t="s">
        <v>20</v>
      </c>
      <c r="B65" s="7" t="s">
        <v>74</v>
      </c>
      <c r="C65" s="7" t="s">
        <v>61</v>
      </c>
      <c r="D65" s="7" t="s">
        <v>23</v>
      </c>
      <c r="E65" s="7" t="s">
        <v>39</v>
      </c>
      <c r="F65" s="7" t="s">
        <v>35</v>
      </c>
      <c r="G65" s="7" t="s">
        <v>36</v>
      </c>
      <c r="J65" s="7" t="n">
        <v>0</v>
      </c>
      <c r="K65" s="7" t="n">
        <v>10</v>
      </c>
      <c r="L65" s="7" t="n">
        <v>4</v>
      </c>
      <c r="M65" s="7" t="n">
        <v>9</v>
      </c>
      <c r="N65" s="10" t="s">
        <v>37</v>
      </c>
      <c r="O65" s="8" t="s">
        <v>26</v>
      </c>
      <c r="P65" s="8" t="s">
        <v>32</v>
      </c>
      <c r="R65" s="10" t="s">
        <v>38</v>
      </c>
      <c r="T65" s="7" t="str">
        <f aca="false">_xlfn.TEXTJOIN( , ,B65,C65)</f>
        <v>electrical_room_section2Spot Cam - PTZ - 2 spot-cam-ptz.jpg</v>
      </c>
    </row>
    <row r="66" s="7" customFormat="true" ht="15" hidden="true" customHeight="true" outlineLevel="0" collapsed="false">
      <c r="A66" s="7" t="s">
        <v>20</v>
      </c>
      <c r="B66" s="7" t="s">
        <v>74</v>
      </c>
      <c r="C66" s="7" t="s">
        <v>109</v>
      </c>
      <c r="D66" s="10" t="s">
        <v>110</v>
      </c>
      <c r="E66" s="10" t="s">
        <v>76</v>
      </c>
      <c r="F66" s="7" t="s">
        <v>94</v>
      </c>
      <c r="G66" s="7" t="s">
        <v>78</v>
      </c>
      <c r="O66" s="8" t="s">
        <v>79</v>
      </c>
      <c r="P66" s="8" t="s">
        <v>80</v>
      </c>
      <c r="Q66" s="8" t="s">
        <v>81</v>
      </c>
      <c r="R66" s="10" t="s">
        <v>82</v>
      </c>
      <c r="T66" s="7" t="str">
        <f aca="false">_xlfn.TEXTJOIN( , ,B66,C66)</f>
        <v>electrical_room_section2Spot Cam - PTZ - 20 spot-cam-ptz.jpg</v>
      </c>
    </row>
    <row r="67" s="7" customFormat="true" ht="15.75" hidden="true" customHeight="true" outlineLevel="0" collapsed="false">
      <c r="A67" s="7" t="s">
        <v>20</v>
      </c>
      <c r="B67" s="7" t="s">
        <v>74</v>
      </c>
      <c r="C67" s="7" t="s">
        <v>109</v>
      </c>
      <c r="D67" s="10" t="s">
        <v>110</v>
      </c>
      <c r="E67" s="10" t="s">
        <v>83</v>
      </c>
      <c r="F67" s="7" t="s">
        <v>84</v>
      </c>
      <c r="G67" s="7" t="s">
        <v>78</v>
      </c>
      <c r="O67" s="8" t="s">
        <v>79</v>
      </c>
      <c r="P67" s="8" t="s">
        <v>80</v>
      </c>
      <c r="Q67" s="8" t="s">
        <v>81</v>
      </c>
      <c r="R67" s="10" t="s">
        <v>82</v>
      </c>
      <c r="T67" s="7" t="str">
        <f aca="false">_xlfn.TEXTJOIN( , ,B67,C67)</f>
        <v>electrical_room_section2Spot Cam - PTZ - 20 spot-cam-ptz.jpg</v>
      </c>
    </row>
    <row r="68" s="7" customFormat="true" ht="15.75" hidden="true" customHeight="true" outlineLevel="0" collapsed="false">
      <c r="A68" s="7" t="s">
        <v>20</v>
      </c>
      <c r="B68" s="7" t="s">
        <v>74</v>
      </c>
      <c r="C68" s="7" t="s">
        <v>109</v>
      </c>
      <c r="D68" s="10" t="s">
        <v>110</v>
      </c>
      <c r="E68" s="10" t="s">
        <v>85</v>
      </c>
      <c r="F68" s="7" t="s">
        <v>84</v>
      </c>
      <c r="G68" s="7" t="s">
        <v>78</v>
      </c>
      <c r="O68" s="8" t="s">
        <v>79</v>
      </c>
      <c r="P68" s="8" t="s">
        <v>80</v>
      </c>
      <c r="Q68" s="8" t="s">
        <v>81</v>
      </c>
      <c r="R68" s="10" t="s">
        <v>82</v>
      </c>
      <c r="T68" s="7" t="str">
        <f aca="false">_xlfn.TEXTJOIN( , ,B68,C68)</f>
        <v>electrical_room_section2Spot Cam - PTZ - 20 spot-cam-ptz.jpg</v>
      </c>
    </row>
    <row r="69" s="7" customFormat="true" ht="15.75" hidden="true" customHeight="true" outlineLevel="0" collapsed="false">
      <c r="A69" s="7" t="s">
        <v>20</v>
      </c>
      <c r="B69" s="7" t="s">
        <v>74</v>
      </c>
      <c r="C69" s="7" t="s">
        <v>109</v>
      </c>
      <c r="D69" s="10" t="s">
        <v>110</v>
      </c>
      <c r="E69" s="10" t="s">
        <v>86</v>
      </c>
      <c r="F69" s="7" t="s">
        <v>84</v>
      </c>
      <c r="G69" s="7" t="s">
        <v>78</v>
      </c>
      <c r="O69" s="8" t="s">
        <v>79</v>
      </c>
      <c r="P69" s="8" t="s">
        <v>80</v>
      </c>
      <c r="Q69" s="8" t="s">
        <v>81</v>
      </c>
      <c r="R69" s="10" t="s">
        <v>82</v>
      </c>
      <c r="T69" s="7" t="str">
        <f aca="false">_xlfn.TEXTJOIN( , ,B69,C69)</f>
        <v>electrical_room_section2Spot Cam - PTZ - 20 spot-cam-ptz.jpg</v>
      </c>
    </row>
    <row r="70" s="7" customFormat="true" ht="15.75" hidden="true" customHeight="true" outlineLevel="0" collapsed="false">
      <c r="A70" s="7" t="s">
        <v>20</v>
      </c>
      <c r="B70" s="7" t="s">
        <v>74</v>
      </c>
      <c r="C70" s="7" t="s">
        <v>109</v>
      </c>
      <c r="D70" s="10" t="s">
        <v>110</v>
      </c>
      <c r="E70" s="10" t="s">
        <v>87</v>
      </c>
      <c r="F70" s="7" t="s">
        <v>95</v>
      </c>
      <c r="G70" s="7" t="s">
        <v>78</v>
      </c>
      <c r="O70" s="8" t="s">
        <v>79</v>
      </c>
      <c r="P70" s="8" t="s">
        <v>80</v>
      </c>
      <c r="Q70" s="8" t="s">
        <v>81</v>
      </c>
      <c r="R70" s="10" t="s">
        <v>82</v>
      </c>
      <c r="T70" s="7" t="str">
        <f aca="false">_xlfn.TEXTJOIN( , ,B70,C70)</f>
        <v>electrical_room_section2Spot Cam - PTZ - 20 spot-cam-ptz.jpg</v>
      </c>
    </row>
    <row r="71" s="7" customFormat="true" ht="15.75" hidden="true" customHeight="true" outlineLevel="0" collapsed="false">
      <c r="A71" s="7" t="s">
        <v>20</v>
      </c>
      <c r="B71" s="7" t="s">
        <v>74</v>
      </c>
      <c r="C71" s="7" t="s">
        <v>109</v>
      </c>
      <c r="D71" s="10" t="s">
        <v>110</v>
      </c>
      <c r="E71" s="10" t="s">
        <v>89</v>
      </c>
      <c r="F71" s="7" t="s">
        <v>90</v>
      </c>
      <c r="G71" s="7" t="s">
        <v>102</v>
      </c>
      <c r="O71" s="8" t="s">
        <v>79</v>
      </c>
      <c r="P71" s="8" t="s">
        <v>80</v>
      </c>
      <c r="Q71" s="8" t="s">
        <v>81</v>
      </c>
      <c r="R71" s="10" t="s">
        <v>82</v>
      </c>
      <c r="T71" s="7" t="str">
        <f aca="false">_xlfn.TEXTJOIN( , ,B71,C71)</f>
        <v>electrical_room_section2Spot Cam - PTZ - 20 spot-cam-ptz.jpg</v>
      </c>
    </row>
    <row r="72" s="7" customFormat="true" ht="15.75" hidden="true" customHeight="true" outlineLevel="0" collapsed="false">
      <c r="A72" s="7" t="s">
        <v>20</v>
      </c>
      <c r="B72" s="7" t="s">
        <v>74</v>
      </c>
      <c r="C72" s="7" t="s">
        <v>111</v>
      </c>
      <c r="D72" s="10" t="s">
        <v>112</v>
      </c>
      <c r="E72" s="10" t="s">
        <v>92</v>
      </c>
      <c r="F72" s="7" t="s">
        <v>93</v>
      </c>
      <c r="G72" s="7" t="s">
        <v>78</v>
      </c>
      <c r="O72" s="8" t="s">
        <v>79</v>
      </c>
      <c r="P72" s="8" t="s">
        <v>80</v>
      </c>
      <c r="Q72" s="8" t="s">
        <v>81</v>
      </c>
      <c r="R72" s="10" t="s">
        <v>82</v>
      </c>
      <c r="T72" s="7" t="str">
        <f aca="false">_xlfn.TEXTJOIN( , ,B72,C72)</f>
        <v>electrical_room_section2Spot Cam - PTZ - 21 spot-cam-ptz.jpg</v>
      </c>
    </row>
    <row r="73" s="7" customFormat="true" ht="15.75" hidden="true" customHeight="true" outlineLevel="0" collapsed="false">
      <c r="A73" s="7" t="s">
        <v>20</v>
      </c>
      <c r="B73" s="7" t="s">
        <v>74</v>
      </c>
      <c r="C73" s="7" t="s">
        <v>113</v>
      </c>
      <c r="D73" s="10" t="s">
        <v>112</v>
      </c>
      <c r="E73" s="10" t="s">
        <v>76</v>
      </c>
      <c r="F73" s="7" t="s">
        <v>94</v>
      </c>
      <c r="G73" s="7" t="s">
        <v>78</v>
      </c>
      <c r="O73" s="8" t="s">
        <v>79</v>
      </c>
      <c r="P73" s="8" t="s">
        <v>80</v>
      </c>
      <c r="Q73" s="8" t="s">
        <v>81</v>
      </c>
      <c r="R73" s="10" t="s">
        <v>82</v>
      </c>
      <c r="T73" s="7" t="str">
        <f aca="false">_xlfn.TEXTJOIN( , ,B73,C73)</f>
        <v>electrical_room_section2Spot Cam - PTZ - 22 spot-cam-ptz.jpg</v>
      </c>
    </row>
    <row r="74" s="7" customFormat="true" ht="15.75" hidden="true" customHeight="true" outlineLevel="0" collapsed="false">
      <c r="A74" s="7" t="s">
        <v>20</v>
      </c>
      <c r="B74" s="7" t="s">
        <v>74</v>
      </c>
      <c r="C74" s="7" t="s">
        <v>113</v>
      </c>
      <c r="D74" s="10" t="s">
        <v>112</v>
      </c>
      <c r="E74" s="10" t="s">
        <v>87</v>
      </c>
      <c r="F74" s="7" t="s">
        <v>95</v>
      </c>
      <c r="G74" s="7" t="s">
        <v>78</v>
      </c>
      <c r="O74" s="8" t="s">
        <v>79</v>
      </c>
      <c r="P74" s="8" t="s">
        <v>80</v>
      </c>
      <c r="Q74" s="8" t="s">
        <v>81</v>
      </c>
      <c r="R74" s="10" t="s">
        <v>82</v>
      </c>
      <c r="T74" s="7" t="str">
        <f aca="false">_xlfn.TEXTJOIN( , ,B74,C74)</f>
        <v>electrical_room_section2Spot Cam - PTZ - 22 spot-cam-ptz.jpg</v>
      </c>
    </row>
    <row r="75" s="7" customFormat="true" ht="15.75" hidden="true" customHeight="true" outlineLevel="0" collapsed="false">
      <c r="A75" s="7" t="s">
        <v>20</v>
      </c>
      <c r="B75" s="7" t="s">
        <v>74</v>
      </c>
      <c r="C75" s="7" t="s">
        <v>113</v>
      </c>
      <c r="D75" s="10" t="s">
        <v>112</v>
      </c>
      <c r="E75" s="10" t="s">
        <v>96</v>
      </c>
      <c r="F75" s="7" t="s">
        <v>90</v>
      </c>
      <c r="G75" s="7" t="s">
        <v>102</v>
      </c>
      <c r="O75" s="8" t="s">
        <v>79</v>
      </c>
      <c r="P75" s="8" t="s">
        <v>80</v>
      </c>
      <c r="Q75" s="8" t="s">
        <v>81</v>
      </c>
      <c r="R75" s="10" t="s">
        <v>82</v>
      </c>
      <c r="T75" s="7" t="str">
        <f aca="false">_xlfn.TEXTJOIN( , ,B75,C75)</f>
        <v>electrical_room_section2Spot Cam - PTZ - 22 spot-cam-ptz.jpg</v>
      </c>
    </row>
    <row r="76" s="7" customFormat="true" ht="15.75" hidden="true" customHeight="true" outlineLevel="0" collapsed="false">
      <c r="A76" s="7" t="s">
        <v>20</v>
      </c>
      <c r="B76" s="7" t="s">
        <v>74</v>
      </c>
      <c r="C76" s="7" t="s">
        <v>114</v>
      </c>
      <c r="D76" s="10" t="s">
        <v>115</v>
      </c>
      <c r="E76" s="10" t="s">
        <v>76</v>
      </c>
      <c r="F76" s="7" t="s">
        <v>94</v>
      </c>
      <c r="G76" s="7" t="s">
        <v>78</v>
      </c>
      <c r="O76" s="8" t="s">
        <v>79</v>
      </c>
      <c r="P76" s="8" t="s">
        <v>80</v>
      </c>
      <c r="Q76" s="8" t="s">
        <v>81</v>
      </c>
      <c r="R76" s="10" t="s">
        <v>82</v>
      </c>
      <c r="T76" s="7" t="str">
        <f aca="false">_xlfn.TEXTJOIN( , ,B76,C76)</f>
        <v>electrical_room_section2Spot Cam - PTZ - 23 spot-cam-ptz.jpg</v>
      </c>
    </row>
    <row r="77" s="7" customFormat="true" ht="15.75" hidden="true" customHeight="true" outlineLevel="0" collapsed="false">
      <c r="A77" s="7" t="s">
        <v>20</v>
      </c>
      <c r="B77" s="7" t="s">
        <v>74</v>
      </c>
      <c r="C77" s="7" t="s">
        <v>114</v>
      </c>
      <c r="D77" s="10" t="s">
        <v>115</v>
      </c>
      <c r="E77" s="10" t="s">
        <v>87</v>
      </c>
      <c r="F77" s="7" t="s">
        <v>95</v>
      </c>
      <c r="G77" s="7" t="s">
        <v>78</v>
      </c>
      <c r="O77" s="8" t="s">
        <v>79</v>
      </c>
      <c r="P77" s="8" t="s">
        <v>80</v>
      </c>
      <c r="Q77" s="8" t="s">
        <v>81</v>
      </c>
      <c r="R77" s="10" t="s">
        <v>82</v>
      </c>
      <c r="T77" s="7" t="str">
        <f aca="false">_xlfn.TEXTJOIN( , ,B77,C77)</f>
        <v>electrical_room_section2Spot Cam - PTZ - 23 spot-cam-ptz.jpg</v>
      </c>
    </row>
    <row r="78" s="7" customFormat="true" ht="15.75" hidden="true" customHeight="true" outlineLevel="0" collapsed="false">
      <c r="A78" s="7" t="s">
        <v>20</v>
      </c>
      <c r="B78" s="7" t="s">
        <v>74</v>
      </c>
      <c r="C78" s="7" t="s">
        <v>114</v>
      </c>
      <c r="D78" s="10" t="s">
        <v>115</v>
      </c>
      <c r="E78" s="10" t="s">
        <v>96</v>
      </c>
      <c r="F78" s="7" t="s">
        <v>90</v>
      </c>
      <c r="G78" s="7" t="s">
        <v>102</v>
      </c>
      <c r="O78" s="8" t="s">
        <v>79</v>
      </c>
      <c r="P78" s="8" t="s">
        <v>80</v>
      </c>
      <c r="Q78" s="8" t="s">
        <v>81</v>
      </c>
      <c r="R78" s="10" t="s">
        <v>82</v>
      </c>
      <c r="T78" s="7" t="str">
        <f aca="false">_xlfn.TEXTJOIN( , ,B78,C78)</f>
        <v>electrical_room_section2Spot Cam - PTZ - 23 spot-cam-ptz.jpg</v>
      </c>
    </row>
    <row r="79" s="7" customFormat="true" ht="15.75" hidden="true" customHeight="true" outlineLevel="0" collapsed="false">
      <c r="A79" s="7" t="s">
        <v>20</v>
      </c>
      <c r="B79" s="7" t="s">
        <v>74</v>
      </c>
      <c r="C79" s="7" t="s">
        <v>116</v>
      </c>
      <c r="D79" s="10" t="s">
        <v>117</v>
      </c>
      <c r="E79" s="10" t="s">
        <v>92</v>
      </c>
      <c r="F79" s="7" t="s">
        <v>93</v>
      </c>
      <c r="G79" s="7" t="s">
        <v>78</v>
      </c>
      <c r="O79" s="8" t="s">
        <v>79</v>
      </c>
      <c r="P79" s="8" t="s">
        <v>80</v>
      </c>
      <c r="Q79" s="8" t="s">
        <v>81</v>
      </c>
      <c r="R79" s="10" t="s">
        <v>82</v>
      </c>
      <c r="T79" s="7" t="str">
        <f aca="false">_xlfn.TEXTJOIN( , ,B79,C79)</f>
        <v>electrical_room_section2Spot Cam - PTZ - 24 spot-cam-ptz.jpg</v>
      </c>
    </row>
    <row r="80" s="7" customFormat="true" ht="15.75" hidden="true" customHeight="true" outlineLevel="0" collapsed="false">
      <c r="A80" s="7" t="s">
        <v>20</v>
      </c>
      <c r="B80" s="7" t="s">
        <v>74</v>
      </c>
      <c r="C80" s="7" t="s">
        <v>118</v>
      </c>
      <c r="D80" s="10" t="s">
        <v>117</v>
      </c>
      <c r="E80" s="10" t="s">
        <v>76</v>
      </c>
      <c r="F80" s="7" t="s">
        <v>77</v>
      </c>
      <c r="G80" s="7" t="s">
        <v>78</v>
      </c>
      <c r="O80" s="8" t="s">
        <v>79</v>
      </c>
      <c r="P80" s="8" t="s">
        <v>80</v>
      </c>
      <c r="Q80" s="8" t="s">
        <v>81</v>
      </c>
      <c r="R80" s="10" t="s">
        <v>82</v>
      </c>
      <c r="T80" s="7" t="str">
        <f aca="false">_xlfn.TEXTJOIN( , ,B80,C80)</f>
        <v>electrical_room_section2Spot Cam - PTZ - 25 spot-cam-ptz.jpg</v>
      </c>
    </row>
    <row r="81" s="7" customFormat="true" ht="15.75" hidden="true" customHeight="true" outlineLevel="0" collapsed="false">
      <c r="A81" s="7" t="s">
        <v>20</v>
      </c>
      <c r="B81" s="7" t="s">
        <v>74</v>
      </c>
      <c r="C81" s="7" t="s">
        <v>118</v>
      </c>
      <c r="D81" s="10" t="s">
        <v>117</v>
      </c>
      <c r="E81" s="10" t="s">
        <v>83</v>
      </c>
      <c r="F81" s="7" t="s">
        <v>84</v>
      </c>
      <c r="G81" s="7" t="s">
        <v>78</v>
      </c>
      <c r="O81" s="8" t="s">
        <v>79</v>
      </c>
      <c r="P81" s="8" t="s">
        <v>80</v>
      </c>
      <c r="Q81" s="8" t="s">
        <v>81</v>
      </c>
      <c r="R81" s="10" t="s">
        <v>82</v>
      </c>
      <c r="T81" s="7" t="str">
        <f aca="false">_xlfn.TEXTJOIN( , ,B81,C81)</f>
        <v>electrical_room_section2Spot Cam - PTZ - 25 spot-cam-ptz.jpg</v>
      </c>
    </row>
    <row r="82" s="7" customFormat="true" ht="15.75" hidden="true" customHeight="true" outlineLevel="0" collapsed="false">
      <c r="A82" s="7" t="s">
        <v>20</v>
      </c>
      <c r="B82" s="7" t="s">
        <v>74</v>
      </c>
      <c r="C82" s="7" t="s">
        <v>118</v>
      </c>
      <c r="D82" s="10" t="s">
        <v>117</v>
      </c>
      <c r="E82" s="10" t="s">
        <v>85</v>
      </c>
      <c r="F82" s="7" t="s">
        <v>84</v>
      </c>
      <c r="G82" s="7" t="s">
        <v>78</v>
      </c>
      <c r="O82" s="8" t="s">
        <v>79</v>
      </c>
      <c r="P82" s="8" t="s">
        <v>80</v>
      </c>
      <c r="Q82" s="8" t="s">
        <v>81</v>
      </c>
      <c r="R82" s="10" t="s">
        <v>82</v>
      </c>
      <c r="T82" s="7" t="str">
        <f aca="false">_xlfn.TEXTJOIN( , ,B82,C82)</f>
        <v>electrical_room_section2Spot Cam - PTZ - 25 spot-cam-ptz.jpg</v>
      </c>
    </row>
    <row r="83" s="7" customFormat="true" ht="15.75" hidden="true" customHeight="true" outlineLevel="0" collapsed="false">
      <c r="A83" s="7" t="s">
        <v>20</v>
      </c>
      <c r="B83" s="7" t="s">
        <v>74</v>
      </c>
      <c r="C83" s="7" t="s">
        <v>118</v>
      </c>
      <c r="D83" s="10" t="s">
        <v>117</v>
      </c>
      <c r="E83" s="10" t="s">
        <v>86</v>
      </c>
      <c r="F83" s="7" t="s">
        <v>84</v>
      </c>
      <c r="G83" s="7" t="s">
        <v>78</v>
      </c>
      <c r="O83" s="8" t="s">
        <v>79</v>
      </c>
      <c r="P83" s="8" t="s">
        <v>80</v>
      </c>
      <c r="Q83" s="8" t="s">
        <v>81</v>
      </c>
      <c r="R83" s="10" t="s">
        <v>82</v>
      </c>
      <c r="T83" s="7" t="str">
        <f aca="false">_xlfn.TEXTJOIN( , ,B83,C83)</f>
        <v>electrical_room_section2Spot Cam - PTZ - 25 spot-cam-ptz.jpg</v>
      </c>
    </row>
    <row r="84" s="7" customFormat="true" ht="15.75" hidden="true" customHeight="true" outlineLevel="0" collapsed="false">
      <c r="A84" s="7" t="s">
        <v>20</v>
      </c>
      <c r="B84" s="7" t="s">
        <v>74</v>
      </c>
      <c r="C84" s="7" t="s">
        <v>118</v>
      </c>
      <c r="D84" s="10" t="s">
        <v>117</v>
      </c>
      <c r="E84" s="10" t="s">
        <v>87</v>
      </c>
      <c r="F84" s="7" t="s">
        <v>88</v>
      </c>
      <c r="G84" s="7" t="s">
        <v>78</v>
      </c>
      <c r="O84" s="8" t="s">
        <v>79</v>
      </c>
      <c r="P84" s="8" t="s">
        <v>80</v>
      </c>
      <c r="Q84" s="8" t="s">
        <v>81</v>
      </c>
      <c r="R84" s="10" t="s">
        <v>82</v>
      </c>
      <c r="T84" s="7" t="str">
        <f aca="false">_xlfn.TEXTJOIN( , ,B84,C84)</f>
        <v>electrical_room_section2Spot Cam - PTZ - 25 spot-cam-ptz.jpg</v>
      </c>
    </row>
    <row r="85" s="7" customFormat="true" ht="15.75" hidden="true" customHeight="true" outlineLevel="0" collapsed="false">
      <c r="A85" s="7" t="s">
        <v>20</v>
      </c>
      <c r="B85" s="7" t="s">
        <v>74</v>
      </c>
      <c r="C85" s="7" t="s">
        <v>118</v>
      </c>
      <c r="D85" s="10" t="s">
        <v>117</v>
      </c>
      <c r="E85" s="10" t="s">
        <v>89</v>
      </c>
      <c r="F85" s="7" t="s">
        <v>90</v>
      </c>
      <c r="G85" s="7" t="s">
        <v>102</v>
      </c>
      <c r="O85" s="8" t="s">
        <v>79</v>
      </c>
      <c r="P85" s="8" t="s">
        <v>80</v>
      </c>
      <c r="Q85" s="8" t="s">
        <v>81</v>
      </c>
      <c r="R85" s="10" t="s">
        <v>82</v>
      </c>
      <c r="T85" s="7" t="str">
        <f aca="false">_xlfn.TEXTJOIN( , ,B85,C85)</f>
        <v>electrical_room_section2Spot Cam - PTZ - 25 spot-cam-ptz.jpg</v>
      </c>
    </row>
    <row r="86" s="7" customFormat="true" ht="15.75" hidden="true" customHeight="true" outlineLevel="0" collapsed="false">
      <c r="A86" s="7" t="s">
        <v>20</v>
      </c>
      <c r="B86" s="7" t="s">
        <v>74</v>
      </c>
      <c r="C86" s="7" t="s">
        <v>119</v>
      </c>
      <c r="D86" s="10" t="s">
        <v>120</v>
      </c>
      <c r="E86" s="10" t="s">
        <v>76</v>
      </c>
      <c r="F86" s="7" t="s">
        <v>77</v>
      </c>
      <c r="G86" s="7" t="s">
        <v>78</v>
      </c>
      <c r="O86" s="8" t="s">
        <v>79</v>
      </c>
      <c r="P86" s="8" t="s">
        <v>80</v>
      </c>
      <c r="Q86" s="8" t="s">
        <v>81</v>
      </c>
      <c r="R86" s="10" t="s">
        <v>82</v>
      </c>
      <c r="T86" s="7" t="str">
        <f aca="false">_xlfn.TEXTJOIN( , ,B86,C86)</f>
        <v>electrical_room_section2Spot Cam - PTZ - 27 spot-cam-ptz.jpg</v>
      </c>
    </row>
    <row r="87" s="7" customFormat="true" ht="15.75" hidden="true" customHeight="true" outlineLevel="0" collapsed="false">
      <c r="A87" s="7" t="s">
        <v>20</v>
      </c>
      <c r="B87" s="7" t="s">
        <v>74</v>
      </c>
      <c r="C87" s="7" t="s">
        <v>119</v>
      </c>
      <c r="D87" s="10" t="s">
        <v>120</v>
      </c>
      <c r="E87" s="10" t="s">
        <v>83</v>
      </c>
      <c r="F87" s="7" t="s">
        <v>84</v>
      </c>
      <c r="G87" s="7" t="s">
        <v>78</v>
      </c>
      <c r="O87" s="8" t="s">
        <v>79</v>
      </c>
      <c r="P87" s="8" t="s">
        <v>80</v>
      </c>
      <c r="Q87" s="8" t="s">
        <v>81</v>
      </c>
      <c r="R87" s="10" t="s">
        <v>82</v>
      </c>
      <c r="T87" s="7" t="str">
        <f aca="false">_xlfn.TEXTJOIN( , ,B87,C87)</f>
        <v>electrical_room_section2Spot Cam - PTZ - 27 spot-cam-ptz.jpg</v>
      </c>
    </row>
    <row r="88" s="7" customFormat="true" ht="15.75" hidden="true" customHeight="true" outlineLevel="0" collapsed="false">
      <c r="A88" s="7" t="s">
        <v>20</v>
      </c>
      <c r="B88" s="7" t="s">
        <v>74</v>
      </c>
      <c r="C88" s="7" t="s">
        <v>119</v>
      </c>
      <c r="D88" s="10" t="s">
        <v>120</v>
      </c>
      <c r="E88" s="10" t="s">
        <v>85</v>
      </c>
      <c r="F88" s="7" t="s">
        <v>84</v>
      </c>
      <c r="G88" s="7" t="s">
        <v>78</v>
      </c>
      <c r="O88" s="8" t="s">
        <v>79</v>
      </c>
      <c r="P88" s="8" t="s">
        <v>80</v>
      </c>
      <c r="Q88" s="8" t="s">
        <v>81</v>
      </c>
      <c r="R88" s="10" t="s">
        <v>82</v>
      </c>
      <c r="T88" s="7" t="str">
        <f aca="false">_xlfn.TEXTJOIN( , ,B88,C88)</f>
        <v>electrical_room_section2Spot Cam - PTZ - 27 spot-cam-ptz.jpg</v>
      </c>
    </row>
    <row r="89" s="7" customFormat="true" ht="15.75" hidden="true" customHeight="true" outlineLevel="0" collapsed="false">
      <c r="A89" s="7" t="s">
        <v>20</v>
      </c>
      <c r="B89" s="7" t="s">
        <v>74</v>
      </c>
      <c r="C89" s="7" t="s">
        <v>119</v>
      </c>
      <c r="D89" s="10" t="s">
        <v>120</v>
      </c>
      <c r="E89" s="10" t="s">
        <v>86</v>
      </c>
      <c r="F89" s="7" t="s">
        <v>84</v>
      </c>
      <c r="G89" s="7" t="s">
        <v>78</v>
      </c>
      <c r="O89" s="8" t="s">
        <v>79</v>
      </c>
      <c r="P89" s="8" t="s">
        <v>80</v>
      </c>
      <c r="Q89" s="8" t="s">
        <v>81</v>
      </c>
      <c r="R89" s="10" t="s">
        <v>82</v>
      </c>
      <c r="T89" s="7" t="str">
        <f aca="false">_xlfn.TEXTJOIN( , ,B89,C89)</f>
        <v>electrical_room_section2Spot Cam - PTZ - 27 spot-cam-ptz.jpg</v>
      </c>
    </row>
    <row r="90" s="7" customFormat="true" ht="14.25" hidden="true" customHeight="true" outlineLevel="0" collapsed="false">
      <c r="A90" s="7" t="s">
        <v>20</v>
      </c>
      <c r="B90" s="7" t="s">
        <v>74</v>
      </c>
      <c r="C90" s="7" t="s">
        <v>119</v>
      </c>
      <c r="D90" s="10" t="s">
        <v>120</v>
      </c>
      <c r="E90" s="10" t="s">
        <v>87</v>
      </c>
      <c r="F90" s="7" t="s">
        <v>88</v>
      </c>
      <c r="G90" s="7" t="s">
        <v>78</v>
      </c>
      <c r="O90" s="8" t="s">
        <v>79</v>
      </c>
      <c r="P90" s="8" t="s">
        <v>80</v>
      </c>
      <c r="Q90" s="8" t="s">
        <v>81</v>
      </c>
      <c r="R90" s="10" t="s">
        <v>82</v>
      </c>
      <c r="T90" s="7" t="str">
        <f aca="false">_xlfn.TEXTJOIN( , ,B90,C90)</f>
        <v>electrical_room_section2Spot Cam - PTZ - 27 spot-cam-ptz.jpg</v>
      </c>
    </row>
    <row r="91" s="7" customFormat="true" ht="15.75" hidden="true" customHeight="true" outlineLevel="0" collapsed="false">
      <c r="A91" s="7" t="s">
        <v>20</v>
      </c>
      <c r="B91" s="7" t="s">
        <v>74</v>
      </c>
      <c r="C91" s="7" t="s">
        <v>119</v>
      </c>
      <c r="D91" s="10" t="s">
        <v>120</v>
      </c>
      <c r="E91" s="10" t="s">
        <v>89</v>
      </c>
      <c r="F91" s="7" t="s">
        <v>90</v>
      </c>
      <c r="G91" s="7" t="s">
        <v>102</v>
      </c>
      <c r="O91" s="8" t="s">
        <v>79</v>
      </c>
      <c r="P91" s="8" t="s">
        <v>80</v>
      </c>
      <c r="Q91" s="8" t="s">
        <v>81</v>
      </c>
      <c r="R91" s="10" t="s">
        <v>82</v>
      </c>
      <c r="T91" s="7" t="str">
        <f aca="false">_xlfn.TEXTJOIN( , ,B91,C91)</f>
        <v>electrical_room_section2Spot Cam - PTZ - 27 spot-cam-ptz.jpg</v>
      </c>
    </row>
    <row r="92" s="7" customFormat="true" ht="15.75" hidden="true" customHeight="true" outlineLevel="0" collapsed="false">
      <c r="A92" s="7" t="s">
        <v>20</v>
      </c>
      <c r="B92" s="7" t="s">
        <v>74</v>
      </c>
      <c r="C92" s="7" t="s">
        <v>121</v>
      </c>
      <c r="D92" s="10" t="s">
        <v>122</v>
      </c>
      <c r="E92" s="7" t="s">
        <v>123</v>
      </c>
      <c r="F92" s="7" t="s">
        <v>124</v>
      </c>
      <c r="G92" s="7" t="s">
        <v>36</v>
      </c>
      <c r="J92" s="7" t="n">
        <v>0</v>
      </c>
      <c r="K92" s="7" t="n">
        <v>100</v>
      </c>
      <c r="L92" s="7" t="n">
        <v>0</v>
      </c>
      <c r="M92" s="7" t="n">
        <v>0</v>
      </c>
      <c r="O92" s="8" t="s">
        <v>79</v>
      </c>
      <c r="P92" s="8" t="s">
        <v>80</v>
      </c>
      <c r="Q92" s="8" t="s">
        <v>81</v>
      </c>
      <c r="R92" s="10" t="s">
        <v>82</v>
      </c>
      <c r="T92" s="7" t="str">
        <f aca="false">_xlfn.TEXTJOIN( , ,B92,C92)</f>
        <v>electrical_room_section2Spot Cam - PTZ - 28 spot-cam-ptz.jpg</v>
      </c>
    </row>
    <row r="93" s="7" customFormat="true" ht="15.75" hidden="true" customHeight="true" outlineLevel="0" collapsed="false">
      <c r="A93" s="7" t="s">
        <v>20</v>
      </c>
      <c r="B93" s="7" t="s">
        <v>74</v>
      </c>
      <c r="C93" s="7" t="s">
        <v>121</v>
      </c>
      <c r="D93" s="10" t="s">
        <v>122</v>
      </c>
      <c r="E93" s="10" t="s">
        <v>83</v>
      </c>
      <c r="F93" s="7" t="s">
        <v>84</v>
      </c>
      <c r="G93" s="7" t="s">
        <v>78</v>
      </c>
      <c r="O93" s="8" t="s">
        <v>79</v>
      </c>
      <c r="P93" s="8" t="s">
        <v>80</v>
      </c>
      <c r="Q93" s="8" t="s">
        <v>81</v>
      </c>
      <c r="R93" s="10" t="s">
        <v>82</v>
      </c>
      <c r="T93" s="7" t="str">
        <f aca="false">_xlfn.TEXTJOIN( , ,B93,C93)</f>
        <v>electrical_room_section2Spot Cam - PTZ - 28 spot-cam-ptz.jpg</v>
      </c>
    </row>
    <row r="94" s="7" customFormat="true" ht="15.75" hidden="true" customHeight="true" outlineLevel="0" collapsed="false">
      <c r="A94" s="7" t="s">
        <v>20</v>
      </c>
      <c r="B94" s="7" t="s">
        <v>74</v>
      </c>
      <c r="C94" s="7" t="s">
        <v>121</v>
      </c>
      <c r="D94" s="10" t="s">
        <v>122</v>
      </c>
      <c r="E94" s="10" t="s">
        <v>85</v>
      </c>
      <c r="F94" s="7" t="s">
        <v>84</v>
      </c>
      <c r="G94" s="7" t="s">
        <v>78</v>
      </c>
      <c r="O94" s="8" t="s">
        <v>79</v>
      </c>
      <c r="P94" s="8" t="s">
        <v>80</v>
      </c>
      <c r="Q94" s="8" t="s">
        <v>81</v>
      </c>
      <c r="R94" s="10" t="s">
        <v>82</v>
      </c>
      <c r="T94" s="7" t="str">
        <f aca="false">_xlfn.TEXTJOIN( , ,B94,C94)</f>
        <v>electrical_room_section2Spot Cam - PTZ - 28 spot-cam-ptz.jpg</v>
      </c>
    </row>
    <row r="95" s="7" customFormat="true" ht="15.75" hidden="true" customHeight="true" outlineLevel="0" collapsed="false">
      <c r="A95" s="7" t="s">
        <v>20</v>
      </c>
      <c r="B95" s="7" t="s">
        <v>74</v>
      </c>
      <c r="C95" s="7" t="s">
        <v>121</v>
      </c>
      <c r="D95" s="10" t="s">
        <v>122</v>
      </c>
      <c r="E95" s="10" t="s">
        <v>99</v>
      </c>
      <c r="F95" s="7" t="s">
        <v>84</v>
      </c>
      <c r="G95" s="7" t="s">
        <v>78</v>
      </c>
      <c r="O95" s="8" t="s">
        <v>79</v>
      </c>
      <c r="P95" s="8" t="s">
        <v>80</v>
      </c>
      <c r="Q95" s="8" t="s">
        <v>81</v>
      </c>
      <c r="R95" s="10" t="s">
        <v>82</v>
      </c>
      <c r="T95" s="7" t="str">
        <f aca="false">_xlfn.TEXTJOIN( , ,B95,C95)</f>
        <v>electrical_room_section2Spot Cam - PTZ - 28 spot-cam-ptz.jpg</v>
      </c>
    </row>
    <row r="96" s="7" customFormat="true" ht="15.75" hidden="true" customHeight="true" outlineLevel="0" collapsed="false">
      <c r="A96" s="7" t="s">
        <v>20</v>
      </c>
      <c r="B96" s="7" t="s">
        <v>74</v>
      </c>
      <c r="C96" s="7" t="s">
        <v>121</v>
      </c>
      <c r="D96" s="10" t="s">
        <v>122</v>
      </c>
      <c r="E96" s="10" t="s">
        <v>100</v>
      </c>
      <c r="F96" s="7" t="s">
        <v>84</v>
      </c>
      <c r="G96" s="7" t="s">
        <v>78</v>
      </c>
      <c r="O96" s="8" t="s">
        <v>79</v>
      </c>
      <c r="P96" s="8" t="s">
        <v>80</v>
      </c>
      <c r="Q96" s="8" t="s">
        <v>81</v>
      </c>
      <c r="R96" s="10" t="s">
        <v>82</v>
      </c>
      <c r="T96" s="7" t="str">
        <f aca="false">_xlfn.TEXTJOIN( , ,B96,C96)</f>
        <v>electrical_room_section2Spot Cam - PTZ - 28 spot-cam-ptz.jpg</v>
      </c>
    </row>
    <row r="97" s="7" customFormat="true" ht="15.75" hidden="true" customHeight="true" outlineLevel="0" collapsed="false">
      <c r="A97" s="7" t="s">
        <v>20</v>
      </c>
      <c r="B97" s="7" t="s">
        <v>74</v>
      </c>
      <c r="C97" s="7" t="s">
        <v>125</v>
      </c>
      <c r="D97" s="10" t="s">
        <v>122</v>
      </c>
      <c r="E97" s="10" t="s">
        <v>92</v>
      </c>
      <c r="F97" s="7" t="s">
        <v>93</v>
      </c>
      <c r="G97" s="7" t="s">
        <v>78</v>
      </c>
      <c r="O97" s="8" t="s">
        <v>79</v>
      </c>
      <c r="P97" s="8" t="s">
        <v>80</v>
      </c>
      <c r="Q97" s="8" t="s">
        <v>81</v>
      </c>
      <c r="R97" s="10" t="s">
        <v>82</v>
      </c>
      <c r="T97" s="7" t="str">
        <f aca="false">_xlfn.TEXTJOIN( , ,B97,C97)</f>
        <v>electrical_room_section2Spot Cam - PTZ - 29 spot-cam-ptz.jpg</v>
      </c>
    </row>
    <row r="98" s="7" customFormat="true" ht="15.75" hidden="true" customHeight="true" outlineLevel="0" collapsed="false">
      <c r="A98" s="7" t="s">
        <v>20</v>
      </c>
      <c r="B98" s="7" t="s">
        <v>74</v>
      </c>
      <c r="C98" s="7" t="s">
        <v>62</v>
      </c>
      <c r="D98" s="10" t="s">
        <v>126</v>
      </c>
      <c r="E98" s="7" t="s">
        <v>123</v>
      </c>
      <c r="F98" s="7" t="s">
        <v>124</v>
      </c>
      <c r="G98" s="7" t="s">
        <v>36</v>
      </c>
      <c r="J98" s="7" t="n">
        <v>0</v>
      </c>
      <c r="K98" s="7" t="n">
        <v>100</v>
      </c>
      <c r="L98" s="7" t="n">
        <v>0</v>
      </c>
      <c r="M98" s="7" t="n">
        <v>0</v>
      </c>
      <c r="T98" s="7" t="str">
        <f aca="false">_xlfn.TEXTJOIN( , ,B98,C98)</f>
        <v>electrical_room_section2Spot Cam - PTZ - 3 spot-cam-ptz.jpg</v>
      </c>
    </row>
    <row r="99" s="7" customFormat="true" ht="15.75" hidden="true" customHeight="true" outlineLevel="0" collapsed="false">
      <c r="A99" s="7" t="s">
        <v>20</v>
      </c>
      <c r="B99" s="7" t="s">
        <v>74</v>
      </c>
      <c r="C99" s="7" t="s">
        <v>62</v>
      </c>
      <c r="D99" s="10" t="s">
        <v>126</v>
      </c>
      <c r="E99" s="10" t="s">
        <v>83</v>
      </c>
      <c r="F99" s="7" t="s">
        <v>84</v>
      </c>
      <c r="G99" s="7" t="s">
        <v>78</v>
      </c>
      <c r="O99" s="8" t="s">
        <v>79</v>
      </c>
      <c r="P99" s="8" t="s">
        <v>80</v>
      </c>
      <c r="Q99" s="8" t="s">
        <v>81</v>
      </c>
      <c r="R99" s="10" t="s">
        <v>82</v>
      </c>
      <c r="T99" s="7" t="str">
        <f aca="false">_xlfn.TEXTJOIN( , ,B99,C99)</f>
        <v>electrical_room_section2Spot Cam - PTZ - 3 spot-cam-ptz.jpg</v>
      </c>
    </row>
    <row r="100" s="7" customFormat="true" ht="15.75" hidden="true" customHeight="true" outlineLevel="0" collapsed="false">
      <c r="A100" s="7" t="s">
        <v>20</v>
      </c>
      <c r="B100" s="7" t="s">
        <v>74</v>
      </c>
      <c r="C100" s="7" t="s">
        <v>62</v>
      </c>
      <c r="D100" s="10" t="s">
        <v>126</v>
      </c>
      <c r="E100" s="10" t="s">
        <v>85</v>
      </c>
      <c r="F100" s="7" t="s">
        <v>84</v>
      </c>
      <c r="G100" s="7" t="s">
        <v>78</v>
      </c>
      <c r="O100" s="8" t="s">
        <v>79</v>
      </c>
      <c r="P100" s="8" t="s">
        <v>80</v>
      </c>
      <c r="Q100" s="8" t="s">
        <v>81</v>
      </c>
      <c r="R100" s="10" t="s">
        <v>82</v>
      </c>
      <c r="T100" s="7" t="str">
        <f aca="false">_xlfn.TEXTJOIN( , ,B100,C100)</f>
        <v>electrical_room_section2Spot Cam - PTZ - 3 spot-cam-ptz.jpg</v>
      </c>
    </row>
    <row r="101" s="7" customFormat="true" ht="15.75" hidden="true" customHeight="true" outlineLevel="0" collapsed="false">
      <c r="A101" s="7" t="s">
        <v>20</v>
      </c>
      <c r="B101" s="7" t="s">
        <v>74</v>
      </c>
      <c r="C101" s="7" t="s">
        <v>62</v>
      </c>
      <c r="D101" s="10" t="s">
        <v>126</v>
      </c>
      <c r="E101" s="10" t="s">
        <v>99</v>
      </c>
      <c r="F101" s="7" t="s">
        <v>84</v>
      </c>
      <c r="G101" s="7" t="s">
        <v>78</v>
      </c>
      <c r="O101" s="8" t="s">
        <v>79</v>
      </c>
      <c r="P101" s="8" t="s">
        <v>80</v>
      </c>
      <c r="Q101" s="8" t="s">
        <v>81</v>
      </c>
      <c r="R101" s="10" t="s">
        <v>82</v>
      </c>
      <c r="T101" s="7" t="str">
        <f aca="false">_xlfn.TEXTJOIN( , ,B101,C101)</f>
        <v>electrical_room_section2Spot Cam - PTZ - 3 spot-cam-ptz.jpg</v>
      </c>
    </row>
    <row r="102" s="7" customFormat="true" ht="15.75" hidden="true" customHeight="true" outlineLevel="0" collapsed="false">
      <c r="A102" s="7" t="s">
        <v>20</v>
      </c>
      <c r="B102" s="7" t="s">
        <v>74</v>
      </c>
      <c r="C102" s="7" t="s">
        <v>62</v>
      </c>
      <c r="D102" s="10" t="s">
        <v>126</v>
      </c>
      <c r="E102" s="10" t="s">
        <v>100</v>
      </c>
      <c r="F102" s="7" t="s">
        <v>84</v>
      </c>
      <c r="G102" s="7" t="s">
        <v>78</v>
      </c>
      <c r="O102" s="8" t="s">
        <v>79</v>
      </c>
      <c r="P102" s="8" t="s">
        <v>80</v>
      </c>
      <c r="Q102" s="8" t="s">
        <v>81</v>
      </c>
      <c r="R102" s="10" t="s">
        <v>82</v>
      </c>
      <c r="T102" s="7" t="str">
        <f aca="false">_xlfn.TEXTJOIN( , ,B102,C102)</f>
        <v>electrical_room_section2Spot Cam - PTZ - 3 spot-cam-ptz.jpg</v>
      </c>
    </row>
    <row r="103" s="7" customFormat="true" ht="15.75" hidden="true" customHeight="true" outlineLevel="0" collapsed="false">
      <c r="A103" s="7" t="s">
        <v>20</v>
      </c>
      <c r="B103" s="7" t="s">
        <v>74</v>
      </c>
      <c r="C103" s="7" t="s">
        <v>127</v>
      </c>
      <c r="D103" s="10" t="s">
        <v>122</v>
      </c>
      <c r="E103" s="10" t="s">
        <v>76</v>
      </c>
      <c r="F103" s="7" t="s">
        <v>94</v>
      </c>
      <c r="G103" s="7" t="s">
        <v>78</v>
      </c>
      <c r="O103" s="8" t="s">
        <v>79</v>
      </c>
      <c r="P103" s="8" t="s">
        <v>80</v>
      </c>
      <c r="Q103" s="8" t="s">
        <v>81</v>
      </c>
      <c r="R103" s="10" t="s">
        <v>82</v>
      </c>
      <c r="T103" s="7" t="str">
        <f aca="false">_xlfn.TEXTJOIN( , ,B103,C103)</f>
        <v>electrical_room_section2Spot Cam - PTZ - 30 spot-cam-ptz.jpg</v>
      </c>
    </row>
    <row r="104" s="7" customFormat="true" ht="15.75" hidden="true" customHeight="true" outlineLevel="0" collapsed="false">
      <c r="A104" s="7" t="s">
        <v>20</v>
      </c>
      <c r="B104" s="7" t="s">
        <v>74</v>
      </c>
      <c r="C104" s="7" t="s">
        <v>127</v>
      </c>
      <c r="D104" s="10" t="s">
        <v>122</v>
      </c>
      <c r="E104" s="10" t="s">
        <v>87</v>
      </c>
      <c r="F104" s="7" t="s">
        <v>95</v>
      </c>
      <c r="G104" s="7" t="s">
        <v>78</v>
      </c>
      <c r="O104" s="8" t="s">
        <v>79</v>
      </c>
      <c r="P104" s="8" t="s">
        <v>80</v>
      </c>
      <c r="Q104" s="8" t="s">
        <v>81</v>
      </c>
      <c r="R104" s="10" t="s">
        <v>82</v>
      </c>
      <c r="T104" s="7" t="str">
        <f aca="false">_xlfn.TEXTJOIN( , ,B104,C104)</f>
        <v>electrical_room_section2Spot Cam - PTZ - 30 spot-cam-ptz.jpg</v>
      </c>
    </row>
    <row r="105" s="7" customFormat="true" ht="15.75" hidden="true" customHeight="true" outlineLevel="0" collapsed="false">
      <c r="A105" s="7" t="s">
        <v>20</v>
      </c>
      <c r="B105" s="7" t="s">
        <v>74</v>
      </c>
      <c r="C105" s="7" t="s">
        <v>127</v>
      </c>
      <c r="D105" s="10" t="s">
        <v>122</v>
      </c>
      <c r="E105" s="10" t="s">
        <v>96</v>
      </c>
      <c r="F105" s="7" t="s">
        <v>90</v>
      </c>
      <c r="G105" s="7" t="s">
        <v>102</v>
      </c>
      <c r="O105" s="8" t="s">
        <v>79</v>
      </c>
      <c r="P105" s="8" t="s">
        <v>80</v>
      </c>
      <c r="Q105" s="8" t="s">
        <v>81</v>
      </c>
      <c r="R105" s="10" t="s">
        <v>82</v>
      </c>
      <c r="T105" s="7" t="str">
        <f aca="false">_xlfn.TEXTJOIN( , ,B105,C105)</f>
        <v>electrical_room_section2Spot Cam - PTZ - 30 spot-cam-ptz.jpg</v>
      </c>
    </row>
    <row r="106" s="7" customFormat="true" ht="15.75" hidden="true" customHeight="true" outlineLevel="0" collapsed="false">
      <c r="A106" s="7" t="s">
        <v>20</v>
      </c>
      <c r="B106" s="7" t="s">
        <v>74</v>
      </c>
      <c r="C106" s="7" t="s">
        <v>127</v>
      </c>
      <c r="D106" s="10" t="s">
        <v>122</v>
      </c>
      <c r="E106" s="10" t="s">
        <v>103</v>
      </c>
      <c r="F106" s="7" t="s">
        <v>104</v>
      </c>
      <c r="G106" s="7" t="s">
        <v>102</v>
      </c>
      <c r="O106" s="8" t="s">
        <v>79</v>
      </c>
      <c r="P106" s="8" t="s">
        <v>80</v>
      </c>
      <c r="Q106" s="8" t="s">
        <v>81</v>
      </c>
      <c r="R106" s="10" t="s">
        <v>82</v>
      </c>
      <c r="T106" s="7" t="str">
        <f aca="false">_xlfn.TEXTJOIN( , ,B106,C106)</f>
        <v>electrical_room_section2Spot Cam - PTZ - 30 spot-cam-ptz.jpg</v>
      </c>
    </row>
    <row r="107" s="7" customFormat="true" ht="15.75" hidden="true" customHeight="true" outlineLevel="0" collapsed="false">
      <c r="A107" s="7" t="s">
        <v>20</v>
      </c>
      <c r="B107" s="7" t="s">
        <v>74</v>
      </c>
      <c r="C107" s="7" t="s">
        <v>128</v>
      </c>
      <c r="D107" s="10" t="s">
        <v>122</v>
      </c>
      <c r="E107" s="7" t="s">
        <v>105</v>
      </c>
      <c r="F107" s="7" t="s">
        <v>106</v>
      </c>
      <c r="G107" s="7" t="s">
        <v>78</v>
      </c>
      <c r="O107" s="8" t="s">
        <v>79</v>
      </c>
      <c r="P107" s="8" t="s">
        <v>80</v>
      </c>
      <c r="Q107" s="8" t="s">
        <v>81</v>
      </c>
      <c r="R107" s="10" t="s">
        <v>82</v>
      </c>
      <c r="T107" s="7" t="str">
        <f aca="false">_xlfn.TEXTJOIN( , ,B107,C107)</f>
        <v>electrical_room_section2Spot Cam - PTZ - 31 spot-cam-ptz.jpg</v>
      </c>
    </row>
    <row r="108" s="7" customFormat="true" ht="15.75" hidden="true" customHeight="true" outlineLevel="0" collapsed="false">
      <c r="A108" s="7" t="s">
        <v>20</v>
      </c>
      <c r="B108" s="7" t="s">
        <v>74</v>
      </c>
      <c r="C108" s="7" t="s">
        <v>129</v>
      </c>
      <c r="D108" s="10" t="s">
        <v>130</v>
      </c>
      <c r="E108" s="10" t="s">
        <v>92</v>
      </c>
      <c r="F108" s="7" t="s">
        <v>93</v>
      </c>
      <c r="G108" s="7" t="s">
        <v>78</v>
      </c>
      <c r="O108" s="8" t="s">
        <v>79</v>
      </c>
      <c r="P108" s="8" t="s">
        <v>80</v>
      </c>
      <c r="Q108" s="8" t="s">
        <v>81</v>
      </c>
      <c r="R108" s="10" t="s">
        <v>82</v>
      </c>
      <c r="T108" s="7" t="str">
        <f aca="false">_xlfn.TEXTJOIN( , ,B108,C108)</f>
        <v>electrical_room_section2Spot Cam - PTZ - 32 spot-cam-ptz.jpg</v>
      </c>
    </row>
    <row r="109" s="7" customFormat="true" ht="15.75" hidden="true" customHeight="true" outlineLevel="0" collapsed="false">
      <c r="A109" s="7" t="s">
        <v>20</v>
      </c>
      <c r="B109" s="7" t="s">
        <v>74</v>
      </c>
      <c r="C109" s="7" t="s">
        <v>131</v>
      </c>
      <c r="D109" s="10" t="s">
        <v>130</v>
      </c>
      <c r="E109" s="10" t="s">
        <v>132</v>
      </c>
      <c r="F109" s="7" t="s">
        <v>94</v>
      </c>
      <c r="G109" s="7" t="s">
        <v>78</v>
      </c>
      <c r="O109" s="8" t="s">
        <v>79</v>
      </c>
      <c r="P109" s="8" t="s">
        <v>80</v>
      </c>
      <c r="Q109" s="8" t="s">
        <v>81</v>
      </c>
      <c r="R109" s="10" t="s">
        <v>82</v>
      </c>
      <c r="T109" s="7" t="str">
        <f aca="false">_xlfn.TEXTJOIN( , ,B109,C109)</f>
        <v>electrical_room_section2Spot Cam - PTZ - 33 spot-cam-ptz.jpg</v>
      </c>
    </row>
    <row r="110" s="7" customFormat="true" ht="15.75" hidden="true" customHeight="true" outlineLevel="0" collapsed="false">
      <c r="A110" s="7" t="s">
        <v>20</v>
      </c>
      <c r="B110" s="7" t="s">
        <v>74</v>
      </c>
      <c r="C110" s="7" t="s">
        <v>131</v>
      </c>
      <c r="D110" s="10" t="s">
        <v>130</v>
      </c>
      <c r="E110" s="10" t="s">
        <v>133</v>
      </c>
      <c r="F110" s="7" t="s">
        <v>77</v>
      </c>
      <c r="G110" s="7" t="s">
        <v>78</v>
      </c>
      <c r="O110" s="8" t="s">
        <v>79</v>
      </c>
      <c r="P110" s="8" t="s">
        <v>80</v>
      </c>
      <c r="Q110" s="8" t="s">
        <v>81</v>
      </c>
      <c r="R110" s="10" t="s">
        <v>82</v>
      </c>
      <c r="T110" s="7" t="str">
        <f aca="false">_xlfn.TEXTJOIN( , ,B110,C110)</f>
        <v>electrical_room_section2Spot Cam - PTZ - 33 spot-cam-ptz.jpg</v>
      </c>
    </row>
    <row r="111" s="7" customFormat="true" ht="15.75" hidden="true" customHeight="true" outlineLevel="0" collapsed="false">
      <c r="A111" s="7" t="s">
        <v>20</v>
      </c>
      <c r="B111" s="7" t="s">
        <v>74</v>
      </c>
      <c r="C111" s="7" t="s">
        <v>131</v>
      </c>
      <c r="D111" s="10" t="s">
        <v>130</v>
      </c>
      <c r="E111" s="10" t="s">
        <v>134</v>
      </c>
      <c r="F111" s="7" t="s">
        <v>88</v>
      </c>
      <c r="G111" s="7" t="s">
        <v>78</v>
      </c>
      <c r="O111" s="8" t="s">
        <v>79</v>
      </c>
      <c r="P111" s="8" t="s">
        <v>80</v>
      </c>
      <c r="Q111" s="8" t="s">
        <v>81</v>
      </c>
      <c r="R111" s="10" t="s">
        <v>82</v>
      </c>
      <c r="T111" s="7" t="str">
        <f aca="false">_xlfn.TEXTJOIN( , ,B111,C111)</f>
        <v>electrical_room_section2Spot Cam - PTZ - 33 spot-cam-ptz.jpg</v>
      </c>
    </row>
    <row r="112" s="7" customFormat="true" ht="15.75" hidden="true" customHeight="true" outlineLevel="0" collapsed="false">
      <c r="A112" s="7" t="s">
        <v>20</v>
      </c>
      <c r="B112" s="7" t="s">
        <v>74</v>
      </c>
      <c r="C112" s="7" t="s">
        <v>131</v>
      </c>
      <c r="D112" s="10" t="s">
        <v>130</v>
      </c>
      <c r="E112" s="10" t="s">
        <v>135</v>
      </c>
      <c r="F112" s="7" t="s">
        <v>95</v>
      </c>
      <c r="G112" s="7" t="s">
        <v>78</v>
      </c>
      <c r="O112" s="8" t="s">
        <v>79</v>
      </c>
      <c r="P112" s="8" t="s">
        <v>80</v>
      </c>
      <c r="Q112" s="8" t="s">
        <v>81</v>
      </c>
      <c r="R112" s="10" t="s">
        <v>82</v>
      </c>
      <c r="T112" s="7" t="str">
        <f aca="false">_xlfn.TEXTJOIN( , ,B112,C112)</f>
        <v>electrical_room_section2Spot Cam - PTZ - 33 spot-cam-ptz.jpg</v>
      </c>
    </row>
    <row r="113" s="7" customFormat="true" ht="15.75" hidden="true" customHeight="true" outlineLevel="0" collapsed="false">
      <c r="A113" s="7" t="s">
        <v>20</v>
      </c>
      <c r="B113" s="7" t="s">
        <v>74</v>
      </c>
      <c r="C113" s="7" t="s">
        <v>131</v>
      </c>
      <c r="D113" s="10" t="s">
        <v>130</v>
      </c>
      <c r="E113" s="10" t="s">
        <v>136</v>
      </c>
      <c r="F113" s="7" t="s">
        <v>137</v>
      </c>
      <c r="G113" s="7" t="s">
        <v>102</v>
      </c>
      <c r="O113" s="8" t="s">
        <v>79</v>
      </c>
      <c r="P113" s="8" t="s">
        <v>80</v>
      </c>
      <c r="Q113" s="8" t="s">
        <v>81</v>
      </c>
      <c r="R113" s="10" t="s">
        <v>82</v>
      </c>
      <c r="T113" s="7" t="str">
        <f aca="false">_xlfn.TEXTJOIN( , ,B113,C113)</f>
        <v>electrical_room_section2Spot Cam - PTZ - 33 spot-cam-ptz.jpg</v>
      </c>
    </row>
    <row r="114" s="7" customFormat="true" ht="15.75" hidden="true" customHeight="true" outlineLevel="0" collapsed="false">
      <c r="A114" s="7" t="s">
        <v>20</v>
      </c>
      <c r="B114" s="7" t="s">
        <v>74</v>
      </c>
      <c r="C114" s="7" t="s">
        <v>138</v>
      </c>
      <c r="D114" s="10" t="s">
        <v>139</v>
      </c>
      <c r="E114" s="10" t="s">
        <v>92</v>
      </c>
      <c r="F114" s="7" t="s">
        <v>93</v>
      </c>
      <c r="G114" s="7" t="s">
        <v>78</v>
      </c>
      <c r="O114" s="8" t="s">
        <v>79</v>
      </c>
      <c r="P114" s="8" t="s">
        <v>80</v>
      </c>
      <c r="Q114" s="8" t="s">
        <v>81</v>
      </c>
      <c r="R114" s="10" t="s">
        <v>82</v>
      </c>
      <c r="T114" s="7" t="str">
        <f aca="false">_xlfn.TEXTJOIN( , ,B114,C114)</f>
        <v>electrical_room_section2Spot Cam - PTZ - 34 spot-cam-ptz.jpg</v>
      </c>
    </row>
    <row r="115" s="7" customFormat="true" ht="15.75" hidden="true" customHeight="true" outlineLevel="0" collapsed="false">
      <c r="A115" s="7" t="s">
        <v>20</v>
      </c>
      <c r="B115" s="7" t="s">
        <v>74</v>
      </c>
      <c r="C115" s="7" t="s">
        <v>140</v>
      </c>
      <c r="D115" s="10" t="s">
        <v>139</v>
      </c>
      <c r="E115" s="10" t="s">
        <v>76</v>
      </c>
      <c r="F115" s="7" t="s">
        <v>77</v>
      </c>
      <c r="G115" s="7" t="s">
        <v>78</v>
      </c>
      <c r="O115" s="8" t="s">
        <v>79</v>
      </c>
      <c r="P115" s="8" t="s">
        <v>80</v>
      </c>
      <c r="Q115" s="8" t="s">
        <v>81</v>
      </c>
      <c r="R115" s="10" t="s">
        <v>82</v>
      </c>
      <c r="T115" s="7" t="str">
        <f aca="false">_xlfn.TEXTJOIN( , ,B115,C115)</f>
        <v>electrical_room_section2Spot Cam - PTZ - 35 spot-cam-ptz.jpg</v>
      </c>
    </row>
    <row r="116" s="7" customFormat="true" ht="15.75" hidden="true" customHeight="true" outlineLevel="0" collapsed="false">
      <c r="A116" s="7" t="s">
        <v>20</v>
      </c>
      <c r="B116" s="7" t="s">
        <v>74</v>
      </c>
      <c r="C116" s="7" t="s">
        <v>140</v>
      </c>
      <c r="D116" s="10" t="s">
        <v>139</v>
      </c>
      <c r="E116" s="10" t="s">
        <v>87</v>
      </c>
      <c r="F116" s="7" t="s">
        <v>88</v>
      </c>
      <c r="G116" s="7" t="s">
        <v>78</v>
      </c>
      <c r="O116" s="8" t="s">
        <v>79</v>
      </c>
      <c r="P116" s="8" t="s">
        <v>80</v>
      </c>
      <c r="Q116" s="8" t="s">
        <v>81</v>
      </c>
      <c r="R116" s="10" t="s">
        <v>82</v>
      </c>
      <c r="T116" s="7" t="str">
        <f aca="false">_xlfn.TEXTJOIN( , ,B116,C116)</f>
        <v>electrical_room_section2Spot Cam - PTZ - 35 spot-cam-ptz.jpg</v>
      </c>
    </row>
    <row r="117" s="7" customFormat="true" ht="15.75" hidden="true" customHeight="true" outlineLevel="0" collapsed="false">
      <c r="A117" s="7" t="s">
        <v>20</v>
      </c>
      <c r="B117" s="7" t="s">
        <v>74</v>
      </c>
      <c r="C117" s="7" t="s">
        <v>140</v>
      </c>
      <c r="D117" s="10" t="s">
        <v>139</v>
      </c>
      <c r="E117" s="10" t="s">
        <v>89</v>
      </c>
      <c r="F117" s="7" t="s">
        <v>90</v>
      </c>
      <c r="G117" s="7" t="s">
        <v>102</v>
      </c>
      <c r="O117" s="8" t="s">
        <v>79</v>
      </c>
      <c r="P117" s="8" t="s">
        <v>80</v>
      </c>
      <c r="Q117" s="8" t="s">
        <v>81</v>
      </c>
      <c r="R117" s="10" t="s">
        <v>82</v>
      </c>
      <c r="T117" s="7" t="str">
        <f aca="false">_xlfn.TEXTJOIN( , ,B117,C117)</f>
        <v>electrical_room_section2Spot Cam - PTZ - 35 spot-cam-ptz.jpg</v>
      </c>
    </row>
    <row r="118" s="7" customFormat="true" ht="15.75" hidden="false" customHeight="true" outlineLevel="0" collapsed="false">
      <c r="A118" s="7" t="s">
        <v>20</v>
      </c>
      <c r="B118" s="7" t="s">
        <v>74</v>
      </c>
      <c r="C118" s="7" t="s">
        <v>141</v>
      </c>
      <c r="D118" s="10" t="s">
        <v>142</v>
      </c>
      <c r="E118" s="7" t="s">
        <v>143</v>
      </c>
      <c r="F118" s="7" t="s">
        <v>143</v>
      </c>
      <c r="G118" s="7" t="s">
        <v>44</v>
      </c>
      <c r="O118" s="8" t="s">
        <v>79</v>
      </c>
      <c r="P118" s="8" t="s">
        <v>144</v>
      </c>
      <c r="Q118" s="8" t="s">
        <v>81</v>
      </c>
      <c r="S118" s="11" t="s">
        <v>145</v>
      </c>
      <c r="T118" s="7" t="str">
        <f aca="false">_xlfn.TEXTJOIN( , ,B118,C118)</f>
        <v>electrical_room_section2Spot Cam - PTZ - 36 spot-cam-ptz.jpg</v>
      </c>
    </row>
    <row r="119" s="7" customFormat="true" ht="15.75" hidden="true" customHeight="true" outlineLevel="0" collapsed="false">
      <c r="A119" s="7" t="s">
        <v>20</v>
      </c>
      <c r="B119" s="7" t="s">
        <v>74</v>
      </c>
      <c r="C119" s="7" t="s">
        <v>146</v>
      </c>
      <c r="D119" s="10" t="s">
        <v>142</v>
      </c>
      <c r="E119" s="10" t="s">
        <v>92</v>
      </c>
      <c r="F119" s="7" t="s">
        <v>93</v>
      </c>
      <c r="G119" s="7" t="s">
        <v>78</v>
      </c>
      <c r="O119" s="8" t="s">
        <v>147</v>
      </c>
      <c r="P119" s="8" t="s">
        <v>148</v>
      </c>
      <c r="T119" s="7" t="str">
        <f aca="false">_xlfn.TEXTJOIN( , ,B119,C119)</f>
        <v>electrical_room_section2Spot Cam - PTZ - 37 spot-cam-ptz.jpg</v>
      </c>
    </row>
    <row r="120" s="7" customFormat="true" ht="15.75" hidden="false" customHeight="true" outlineLevel="0" collapsed="false">
      <c r="A120" s="7" t="s">
        <v>20</v>
      </c>
      <c r="B120" s="7" t="s">
        <v>74</v>
      </c>
      <c r="C120" s="7" t="s">
        <v>149</v>
      </c>
      <c r="D120" s="10" t="s">
        <v>150</v>
      </c>
      <c r="E120" s="7" t="s">
        <v>151</v>
      </c>
      <c r="F120" s="7" t="s">
        <v>152</v>
      </c>
      <c r="G120" s="7" t="s">
        <v>44</v>
      </c>
      <c r="O120" s="8" t="s">
        <v>79</v>
      </c>
      <c r="P120" s="8" t="s">
        <v>80</v>
      </c>
      <c r="Q120" s="8" t="s">
        <v>81</v>
      </c>
      <c r="R120" s="10" t="s">
        <v>82</v>
      </c>
      <c r="S120" s="11" t="s">
        <v>153</v>
      </c>
      <c r="T120" s="7" t="str">
        <f aca="false">_xlfn.TEXTJOIN( , ,B120,C120)</f>
        <v>electrical_room_section2Spot Cam - PTZ - 38 spot-cam-ptz.jpg</v>
      </c>
    </row>
    <row r="121" s="7" customFormat="true" ht="15.75" hidden="true" customHeight="true" outlineLevel="0" collapsed="false">
      <c r="A121" s="7" t="s">
        <v>20</v>
      </c>
      <c r="B121" s="7" t="s">
        <v>74</v>
      </c>
      <c r="C121" s="7" t="s">
        <v>149</v>
      </c>
      <c r="D121" s="10" t="s">
        <v>150</v>
      </c>
      <c r="E121" s="10" t="s">
        <v>83</v>
      </c>
      <c r="F121" s="7" t="s">
        <v>84</v>
      </c>
      <c r="G121" s="7" t="s">
        <v>78</v>
      </c>
      <c r="O121" s="8" t="s">
        <v>79</v>
      </c>
      <c r="P121" s="8" t="s">
        <v>80</v>
      </c>
      <c r="Q121" s="8" t="s">
        <v>81</v>
      </c>
      <c r="R121" s="10" t="s">
        <v>82</v>
      </c>
      <c r="T121" s="7" t="str">
        <f aca="false">_xlfn.TEXTJOIN( , ,B121,C121)</f>
        <v>electrical_room_section2Spot Cam - PTZ - 38 spot-cam-ptz.jpg</v>
      </c>
    </row>
    <row r="122" s="7" customFormat="true" ht="15.75" hidden="true" customHeight="true" outlineLevel="0" collapsed="false">
      <c r="A122" s="7" t="s">
        <v>20</v>
      </c>
      <c r="B122" s="7" t="s">
        <v>74</v>
      </c>
      <c r="C122" s="7" t="s">
        <v>149</v>
      </c>
      <c r="D122" s="10" t="s">
        <v>150</v>
      </c>
      <c r="E122" s="10" t="s">
        <v>85</v>
      </c>
      <c r="F122" s="7" t="s">
        <v>84</v>
      </c>
      <c r="G122" s="7" t="s">
        <v>78</v>
      </c>
      <c r="O122" s="8" t="s">
        <v>79</v>
      </c>
      <c r="P122" s="8" t="s">
        <v>80</v>
      </c>
      <c r="Q122" s="8" t="s">
        <v>81</v>
      </c>
      <c r="R122" s="10" t="s">
        <v>82</v>
      </c>
      <c r="T122" s="7" t="str">
        <f aca="false">_xlfn.TEXTJOIN( , ,B122,C122)</f>
        <v>electrical_room_section2Spot Cam - PTZ - 38 spot-cam-ptz.jpg</v>
      </c>
    </row>
    <row r="123" s="7" customFormat="true" ht="15.75" hidden="true" customHeight="true" outlineLevel="0" collapsed="false">
      <c r="A123" s="7" t="s">
        <v>20</v>
      </c>
      <c r="B123" s="7" t="s">
        <v>74</v>
      </c>
      <c r="C123" s="7" t="s">
        <v>149</v>
      </c>
      <c r="D123" s="10" t="s">
        <v>150</v>
      </c>
      <c r="E123" s="10" t="s">
        <v>154</v>
      </c>
      <c r="F123" s="7" t="s">
        <v>84</v>
      </c>
      <c r="G123" s="7" t="s">
        <v>78</v>
      </c>
      <c r="O123" s="8" t="s">
        <v>79</v>
      </c>
      <c r="P123" s="8" t="s">
        <v>80</v>
      </c>
      <c r="Q123" s="8" t="s">
        <v>81</v>
      </c>
      <c r="R123" s="10" t="s">
        <v>82</v>
      </c>
      <c r="T123" s="7" t="str">
        <f aca="false">_xlfn.TEXTJOIN( , ,B123,C123)</f>
        <v>electrical_room_section2Spot Cam - PTZ - 38 spot-cam-ptz.jpg</v>
      </c>
    </row>
    <row r="124" s="7" customFormat="true" ht="15.75" hidden="true" customHeight="true" outlineLevel="0" collapsed="false">
      <c r="A124" s="7" t="s">
        <v>20</v>
      </c>
      <c r="B124" s="7" t="s">
        <v>74</v>
      </c>
      <c r="C124" s="7" t="s">
        <v>149</v>
      </c>
      <c r="D124" s="10" t="s">
        <v>150</v>
      </c>
      <c r="E124" s="10" t="s">
        <v>86</v>
      </c>
      <c r="F124" s="7" t="s">
        <v>84</v>
      </c>
      <c r="G124" s="7" t="s">
        <v>78</v>
      </c>
      <c r="O124" s="8" t="s">
        <v>79</v>
      </c>
      <c r="P124" s="8" t="s">
        <v>80</v>
      </c>
      <c r="Q124" s="8" t="s">
        <v>81</v>
      </c>
      <c r="R124" s="10" t="s">
        <v>82</v>
      </c>
      <c r="T124" s="7" t="str">
        <f aca="false">_xlfn.TEXTJOIN( , ,B124,C124)</f>
        <v>electrical_room_section2Spot Cam - PTZ - 38 spot-cam-ptz.jpg</v>
      </c>
    </row>
    <row r="125" s="7" customFormat="true" ht="15.75" hidden="true" customHeight="true" outlineLevel="0" collapsed="false">
      <c r="A125" s="7" t="s">
        <v>20</v>
      </c>
      <c r="B125" s="7" t="s">
        <v>74</v>
      </c>
      <c r="C125" s="7" t="s">
        <v>149</v>
      </c>
      <c r="D125" s="10" t="s">
        <v>150</v>
      </c>
      <c r="E125" s="10" t="s">
        <v>92</v>
      </c>
      <c r="F125" s="7" t="s">
        <v>93</v>
      </c>
      <c r="G125" s="7" t="s">
        <v>78</v>
      </c>
      <c r="O125" s="8" t="s">
        <v>79</v>
      </c>
      <c r="P125" s="8" t="s">
        <v>80</v>
      </c>
      <c r="Q125" s="8" t="s">
        <v>81</v>
      </c>
      <c r="R125" s="10" t="s">
        <v>82</v>
      </c>
      <c r="T125" s="7" t="str">
        <f aca="false">_xlfn.TEXTJOIN( , ,B125,C125)</f>
        <v>electrical_room_section2Spot Cam - PTZ - 38 spot-cam-ptz.jpg</v>
      </c>
    </row>
    <row r="126" s="7" customFormat="true" ht="15.75" hidden="true" customHeight="true" outlineLevel="0" collapsed="false">
      <c r="A126" s="7" t="s">
        <v>20</v>
      </c>
      <c r="B126" s="7" t="s">
        <v>74</v>
      </c>
      <c r="C126" s="7" t="s">
        <v>155</v>
      </c>
      <c r="D126" s="10" t="s">
        <v>150</v>
      </c>
      <c r="E126" s="7" t="s">
        <v>156</v>
      </c>
      <c r="F126" s="7" t="s">
        <v>94</v>
      </c>
      <c r="G126" s="7" t="s">
        <v>78</v>
      </c>
      <c r="O126" s="8" t="s">
        <v>79</v>
      </c>
      <c r="P126" s="8" t="s">
        <v>80</v>
      </c>
      <c r="Q126" s="8" t="s">
        <v>81</v>
      </c>
      <c r="R126" s="10" t="s">
        <v>82</v>
      </c>
      <c r="T126" s="7" t="str">
        <f aca="false">_xlfn.TEXTJOIN( , ,B126,C126)</f>
        <v>electrical_room_section2Spot Cam - PTZ - 39 spot-cam-ptz.jpg</v>
      </c>
    </row>
    <row r="127" s="7" customFormat="true" ht="15.75" hidden="true" customHeight="true" outlineLevel="0" collapsed="false">
      <c r="A127" s="7" t="s">
        <v>20</v>
      </c>
      <c r="B127" s="7" t="s">
        <v>74</v>
      </c>
      <c r="C127" s="7" t="s">
        <v>155</v>
      </c>
      <c r="D127" s="10" t="s">
        <v>150</v>
      </c>
      <c r="E127" s="7" t="s">
        <v>157</v>
      </c>
      <c r="F127" s="7" t="s">
        <v>94</v>
      </c>
      <c r="G127" s="7" t="s">
        <v>78</v>
      </c>
      <c r="O127" s="8" t="s">
        <v>79</v>
      </c>
      <c r="P127" s="8" t="s">
        <v>80</v>
      </c>
      <c r="Q127" s="8" t="s">
        <v>81</v>
      </c>
      <c r="R127" s="10" t="s">
        <v>82</v>
      </c>
      <c r="T127" s="7" t="str">
        <f aca="false">_xlfn.TEXTJOIN( , ,B127,C127)</f>
        <v>electrical_room_section2Spot Cam - PTZ - 39 spot-cam-ptz.jpg</v>
      </c>
    </row>
    <row r="128" s="7" customFormat="true" ht="15.75" hidden="true" customHeight="true" outlineLevel="0" collapsed="false">
      <c r="A128" s="7" t="s">
        <v>20</v>
      </c>
      <c r="B128" s="7" t="s">
        <v>74</v>
      </c>
      <c r="C128" s="7" t="s">
        <v>155</v>
      </c>
      <c r="D128" s="10" t="s">
        <v>150</v>
      </c>
      <c r="E128" s="10" t="s">
        <v>76</v>
      </c>
      <c r="F128" s="7" t="s">
        <v>77</v>
      </c>
      <c r="O128" s="8" t="s">
        <v>79</v>
      </c>
      <c r="P128" s="8" t="s">
        <v>80</v>
      </c>
      <c r="Q128" s="8" t="s">
        <v>81</v>
      </c>
      <c r="R128" s="10" t="s">
        <v>82</v>
      </c>
      <c r="T128" s="7" t="str">
        <f aca="false">_xlfn.TEXTJOIN( , ,B128,C128)</f>
        <v>electrical_room_section2Spot Cam - PTZ - 39 spot-cam-ptz.jpg</v>
      </c>
    </row>
    <row r="129" s="7" customFormat="true" ht="15.75" hidden="true" customHeight="true" outlineLevel="0" collapsed="false">
      <c r="A129" s="7" t="s">
        <v>20</v>
      </c>
      <c r="B129" s="7" t="s">
        <v>74</v>
      </c>
      <c r="C129" s="7" t="s">
        <v>155</v>
      </c>
      <c r="D129" s="10" t="s">
        <v>150</v>
      </c>
      <c r="E129" s="10" t="s">
        <v>87</v>
      </c>
      <c r="F129" s="7" t="s">
        <v>88</v>
      </c>
      <c r="G129" s="7" t="s">
        <v>78</v>
      </c>
      <c r="O129" s="8" t="s">
        <v>79</v>
      </c>
      <c r="P129" s="8" t="s">
        <v>80</v>
      </c>
      <c r="Q129" s="8" t="s">
        <v>81</v>
      </c>
      <c r="R129" s="10" t="s">
        <v>82</v>
      </c>
      <c r="T129" s="7" t="str">
        <f aca="false">_xlfn.TEXTJOIN( , ,B129,C129)</f>
        <v>electrical_room_section2Spot Cam - PTZ - 39 spot-cam-ptz.jpg</v>
      </c>
    </row>
    <row r="130" s="7" customFormat="true" ht="15.75" hidden="true" customHeight="true" outlineLevel="0" collapsed="false">
      <c r="A130" s="7" t="s">
        <v>20</v>
      </c>
      <c r="B130" s="7" t="s">
        <v>74</v>
      </c>
      <c r="C130" s="7" t="s">
        <v>155</v>
      </c>
      <c r="D130" s="10" t="s">
        <v>150</v>
      </c>
      <c r="E130" s="7" t="s">
        <v>158</v>
      </c>
      <c r="F130" s="7" t="s">
        <v>95</v>
      </c>
      <c r="G130" s="7" t="s">
        <v>78</v>
      </c>
      <c r="O130" s="8" t="s">
        <v>79</v>
      </c>
      <c r="P130" s="8" t="s">
        <v>80</v>
      </c>
      <c r="Q130" s="8" t="s">
        <v>81</v>
      </c>
      <c r="R130" s="10" t="s">
        <v>82</v>
      </c>
      <c r="T130" s="7" t="str">
        <f aca="false">_xlfn.TEXTJOIN( , ,B130,C130)</f>
        <v>electrical_room_section2Spot Cam - PTZ - 39 spot-cam-ptz.jpg</v>
      </c>
    </row>
    <row r="131" s="7" customFormat="true" ht="15.75" hidden="true" customHeight="true" outlineLevel="0" collapsed="false">
      <c r="A131" s="7" t="s">
        <v>20</v>
      </c>
      <c r="B131" s="7" t="s">
        <v>74</v>
      </c>
      <c r="C131" s="7" t="s">
        <v>155</v>
      </c>
      <c r="D131" s="10" t="s">
        <v>150</v>
      </c>
      <c r="E131" s="7" t="s">
        <v>159</v>
      </c>
      <c r="F131" s="7" t="s">
        <v>95</v>
      </c>
      <c r="G131" s="7" t="s">
        <v>78</v>
      </c>
      <c r="O131" s="8" t="s">
        <v>79</v>
      </c>
      <c r="P131" s="8" t="s">
        <v>80</v>
      </c>
      <c r="Q131" s="8" t="s">
        <v>81</v>
      </c>
      <c r="R131" s="10" t="s">
        <v>82</v>
      </c>
      <c r="T131" s="7" t="str">
        <f aca="false">_xlfn.TEXTJOIN( , ,B131,C131)</f>
        <v>electrical_room_section2Spot Cam - PTZ - 39 spot-cam-ptz.jpg</v>
      </c>
    </row>
    <row r="132" s="7" customFormat="true" ht="15.75" hidden="true" customHeight="true" outlineLevel="0" collapsed="false">
      <c r="A132" s="7" t="s">
        <v>20</v>
      </c>
      <c r="B132" s="7" t="s">
        <v>74</v>
      </c>
      <c r="C132" s="7" t="s">
        <v>155</v>
      </c>
      <c r="D132" s="10" t="s">
        <v>150</v>
      </c>
      <c r="E132" s="10" t="s">
        <v>89</v>
      </c>
      <c r="F132" s="7" t="s">
        <v>90</v>
      </c>
      <c r="G132" s="7" t="s">
        <v>102</v>
      </c>
      <c r="O132" s="8" t="s">
        <v>79</v>
      </c>
      <c r="P132" s="8" t="s">
        <v>80</v>
      </c>
      <c r="Q132" s="8" t="s">
        <v>81</v>
      </c>
      <c r="R132" s="10" t="s">
        <v>82</v>
      </c>
      <c r="T132" s="7" t="str">
        <f aca="false">_xlfn.TEXTJOIN( , ,B132,C132)</f>
        <v>electrical_room_section2Spot Cam - PTZ - 39 spot-cam-ptz.jpg</v>
      </c>
    </row>
    <row r="133" s="7" customFormat="true" ht="15.75" hidden="true" customHeight="true" outlineLevel="0" collapsed="false">
      <c r="A133" s="7" t="s">
        <v>20</v>
      </c>
      <c r="B133" s="7" t="s">
        <v>74</v>
      </c>
      <c r="C133" s="7" t="s">
        <v>155</v>
      </c>
      <c r="D133" s="10" t="s">
        <v>150</v>
      </c>
      <c r="E133" s="7" t="s">
        <v>160</v>
      </c>
      <c r="F133" s="7" t="s">
        <v>161</v>
      </c>
      <c r="G133" s="7" t="s">
        <v>102</v>
      </c>
      <c r="O133" s="8" t="s">
        <v>79</v>
      </c>
      <c r="P133" s="8" t="s">
        <v>80</v>
      </c>
      <c r="Q133" s="8" t="s">
        <v>81</v>
      </c>
      <c r="R133" s="10" t="s">
        <v>82</v>
      </c>
      <c r="T133" s="7" t="str">
        <f aca="false">_xlfn.TEXTJOIN( , ,B133,C133)</f>
        <v>electrical_room_section2Spot Cam - PTZ - 39 spot-cam-ptz.jpg</v>
      </c>
    </row>
    <row r="134" s="7" customFormat="true" ht="15.75" hidden="true" customHeight="true" outlineLevel="0" collapsed="false">
      <c r="A134" s="7" t="s">
        <v>20</v>
      </c>
      <c r="B134" s="7" t="s">
        <v>74</v>
      </c>
      <c r="C134" s="7" t="s">
        <v>155</v>
      </c>
      <c r="D134" s="10" t="s">
        <v>150</v>
      </c>
      <c r="E134" s="7" t="s">
        <v>162</v>
      </c>
      <c r="F134" s="7" t="s">
        <v>161</v>
      </c>
      <c r="G134" s="7" t="s">
        <v>102</v>
      </c>
      <c r="O134" s="8" t="s">
        <v>79</v>
      </c>
      <c r="P134" s="8" t="s">
        <v>80</v>
      </c>
      <c r="Q134" s="8" t="s">
        <v>81</v>
      </c>
      <c r="R134" s="10" t="s">
        <v>82</v>
      </c>
      <c r="T134" s="7" t="str">
        <f aca="false">_xlfn.TEXTJOIN( , ,B134,C134)</f>
        <v>electrical_room_section2Spot Cam - PTZ - 39 spot-cam-ptz.jpg</v>
      </c>
    </row>
    <row r="135" s="7" customFormat="true" ht="15.75" hidden="true" customHeight="true" outlineLevel="0" collapsed="false">
      <c r="A135" s="7" t="s">
        <v>20</v>
      </c>
      <c r="B135" s="7" t="s">
        <v>74</v>
      </c>
      <c r="C135" s="7" t="s">
        <v>67</v>
      </c>
      <c r="D135" s="10" t="s">
        <v>126</v>
      </c>
      <c r="E135" s="10" t="s">
        <v>92</v>
      </c>
      <c r="F135" s="10" t="s">
        <v>93</v>
      </c>
      <c r="G135" s="7" t="s">
        <v>78</v>
      </c>
      <c r="O135" s="8" t="s">
        <v>79</v>
      </c>
      <c r="P135" s="8" t="s">
        <v>80</v>
      </c>
      <c r="Q135" s="8" t="s">
        <v>81</v>
      </c>
      <c r="R135" s="10" t="s">
        <v>82</v>
      </c>
      <c r="T135" s="7" t="str">
        <f aca="false">_xlfn.TEXTJOIN( , ,B135,C135)</f>
        <v>electrical_room_section2Spot Cam - PTZ - 4 spot-cam-ptz.jpg</v>
      </c>
    </row>
    <row r="136" s="7" customFormat="true" ht="15.75" hidden="true" customHeight="true" outlineLevel="0" collapsed="false">
      <c r="A136" s="7" t="s">
        <v>20</v>
      </c>
      <c r="B136" s="7" t="s">
        <v>74</v>
      </c>
      <c r="C136" s="7" t="s">
        <v>163</v>
      </c>
      <c r="D136" s="10" t="s">
        <v>150</v>
      </c>
      <c r="E136" s="7" t="s">
        <v>164</v>
      </c>
      <c r="F136" s="7" t="s">
        <v>106</v>
      </c>
      <c r="G136" s="7" t="s">
        <v>78</v>
      </c>
      <c r="O136" s="8" t="s">
        <v>79</v>
      </c>
      <c r="P136" s="8" t="s">
        <v>80</v>
      </c>
      <c r="Q136" s="8" t="s">
        <v>81</v>
      </c>
      <c r="R136" s="10" t="s">
        <v>82</v>
      </c>
      <c r="T136" s="7" t="str">
        <f aca="false">_xlfn.TEXTJOIN( , ,B136,C136)</f>
        <v>electrical_room_section2Spot Cam - PTZ - 40 spot-cam-ptz.jpg</v>
      </c>
    </row>
    <row r="137" s="7" customFormat="true" ht="15.75" hidden="true" customHeight="true" outlineLevel="0" collapsed="false">
      <c r="A137" s="7" t="s">
        <v>20</v>
      </c>
      <c r="B137" s="7" t="s">
        <v>74</v>
      </c>
      <c r="C137" s="7" t="s">
        <v>165</v>
      </c>
      <c r="D137" s="10" t="s">
        <v>166</v>
      </c>
      <c r="E137" s="10" t="s">
        <v>83</v>
      </c>
      <c r="F137" s="7" t="s">
        <v>84</v>
      </c>
      <c r="G137" s="7" t="s">
        <v>78</v>
      </c>
      <c r="O137" s="8" t="s">
        <v>79</v>
      </c>
      <c r="P137" s="8" t="s">
        <v>80</v>
      </c>
      <c r="Q137" s="8" t="s">
        <v>81</v>
      </c>
      <c r="R137" s="10" t="s">
        <v>82</v>
      </c>
      <c r="T137" s="7" t="str">
        <f aca="false">_xlfn.TEXTJOIN( , ,B137,C137)</f>
        <v>electrical_room_section2Spot Cam - PTZ - 41 spot-cam-ptz.jpg</v>
      </c>
    </row>
    <row r="138" s="7" customFormat="true" ht="15.75" hidden="true" customHeight="true" outlineLevel="0" collapsed="false">
      <c r="A138" s="7" t="s">
        <v>20</v>
      </c>
      <c r="B138" s="7" t="s">
        <v>74</v>
      </c>
      <c r="C138" s="7" t="s">
        <v>165</v>
      </c>
      <c r="D138" s="10" t="s">
        <v>166</v>
      </c>
      <c r="E138" s="10" t="s">
        <v>85</v>
      </c>
      <c r="F138" s="7" t="s">
        <v>84</v>
      </c>
      <c r="G138" s="7" t="s">
        <v>78</v>
      </c>
      <c r="O138" s="8" t="s">
        <v>79</v>
      </c>
      <c r="P138" s="8" t="s">
        <v>80</v>
      </c>
      <c r="Q138" s="8" t="s">
        <v>81</v>
      </c>
      <c r="R138" s="10" t="s">
        <v>82</v>
      </c>
      <c r="T138" s="7" t="str">
        <f aca="false">_xlfn.TEXTJOIN( , ,B138,C138)</f>
        <v>electrical_room_section2Spot Cam - PTZ - 41 spot-cam-ptz.jpg</v>
      </c>
    </row>
    <row r="139" s="7" customFormat="true" ht="15.75" hidden="true" customHeight="true" outlineLevel="0" collapsed="false">
      <c r="A139" s="7" t="s">
        <v>20</v>
      </c>
      <c r="B139" s="7" t="s">
        <v>74</v>
      </c>
      <c r="C139" s="7" t="s">
        <v>165</v>
      </c>
      <c r="D139" s="10" t="s">
        <v>166</v>
      </c>
      <c r="E139" s="10" t="s">
        <v>86</v>
      </c>
      <c r="F139" s="7" t="s">
        <v>84</v>
      </c>
      <c r="G139" s="7" t="s">
        <v>78</v>
      </c>
      <c r="O139" s="8" t="s">
        <v>79</v>
      </c>
      <c r="P139" s="8" t="s">
        <v>80</v>
      </c>
      <c r="Q139" s="8" t="s">
        <v>81</v>
      </c>
      <c r="R139" s="10" t="s">
        <v>82</v>
      </c>
      <c r="T139" s="7" t="str">
        <f aca="false">_xlfn.TEXTJOIN( , ,B139,C139)</f>
        <v>electrical_room_section2Spot Cam - PTZ - 41 spot-cam-ptz.jpg</v>
      </c>
    </row>
    <row r="140" s="7" customFormat="true" ht="15.75" hidden="true" customHeight="true" outlineLevel="0" collapsed="false">
      <c r="A140" s="7" t="s">
        <v>20</v>
      </c>
      <c r="B140" s="7" t="s">
        <v>74</v>
      </c>
      <c r="C140" s="7" t="s">
        <v>165</v>
      </c>
      <c r="D140" s="10" t="s">
        <v>166</v>
      </c>
      <c r="E140" s="10" t="s">
        <v>92</v>
      </c>
      <c r="F140" s="7" t="s">
        <v>93</v>
      </c>
      <c r="G140" s="7" t="s">
        <v>78</v>
      </c>
      <c r="O140" s="8" t="s">
        <v>79</v>
      </c>
      <c r="P140" s="8" t="s">
        <v>80</v>
      </c>
      <c r="Q140" s="8" t="s">
        <v>81</v>
      </c>
      <c r="R140" s="10" t="s">
        <v>82</v>
      </c>
      <c r="T140" s="7" t="str">
        <f aca="false">_xlfn.TEXTJOIN( , ,B140,C140)</f>
        <v>electrical_room_section2Spot Cam - PTZ - 41 spot-cam-ptz.jpg</v>
      </c>
    </row>
    <row r="141" s="7" customFormat="true" ht="15.75" hidden="true" customHeight="true" outlineLevel="0" collapsed="false">
      <c r="A141" s="7" t="s">
        <v>20</v>
      </c>
      <c r="B141" s="7" t="s">
        <v>74</v>
      </c>
      <c r="C141" s="7" t="s">
        <v>167</v>
      </c>
      <c r="D141" s="10" t="s">
        <v>166</v>
      </c>
      <c r="E141" s="10" t="s">
        <v>76</v>
      </c>
      <c r="F141" s="7" t="s">
        <v>94</v>
      </c>
      <c r="G141" s="7" t="s">
        <v>78</v>
      </c>
      <c r="O141" s="8" t="s">
        <v>79</v>
      </c>
      <c r="P141" s="8" t="s">
        <v>80</v>
      </c>
      <c r="Q141" s="8" t="s">
        <v>81</v>
      </c>
      <c r="R141" s="10" t="s">
        <v>82</v>
      </c>
      <c r="T141" s="7" t="str">
        <f aca="false">_xlfn.TEXTJOIN( , ,B141,C141)</f>
        <v>electrical_room_section2Spot Cam - PTZ - 42 spot-cam-ptz.jpg</v>
      </c>
    </row>
    <row r="142" s="7" customFormat="true" ht="15.75" hidden="true" customHeight="true" outlineLevel="0" collapsed="false">
      <c r="A142" s="7" t="s">
        <v>20</v>
      </c>
      <c r="B142" s="7" t="s">
        <v>74</v>
      </c>
      <c r="C142" s="7" t="s">
        <v>167</v>
      </c>
      <c r="D142" s="10" t="s">
        <v>166</v>
      </c>
      <c r="E142" s="10" t="s">
        <v>87</v>
      </c>
      <c r="F142" s="7" t="s">
        <v>95</v>
      </c>
      <c r="G142" s="7" t="s">
        <v>78</v>
      </c>
      <c r="O142" s="8" t="s">
        <v>79</v>
      </c>
      <c r="P142" s="8" t="s">
        <v>80</v>
      </c>
      <c r="Q142" s="8" t="s">
        <v>81</v>
      </c>
      <c r="R142" s="10" t="s">
        <v>82</v>
      </c>
      <c r="T142" s="7" t="str">
        <f aca="false">_xlfn.TEXTJOIN( , ,B142,C142)</f>
        <v>electrical_room_section2Spot Cam - PTZ - 42 spot-cam-ptz.jpg</v>
      </c>
    </row>
    <row r="143" s="7" customFormat="true" ht="15.75" hidden="true" customHeight="true" outlineLevel="0" collapsed="false">
      <c r="A143" s="7" t="s">
        <v>20</v>
      </c>
      <c r="B143" s="7" t="s">
        <v>74</v>
      </c>
      <c r="C143" s="7" t="s">
        <v>167</v>
      </c>
      <c r="D143" s="10" t="s">
        <v>166</v>
      </c>
      <c r="E143" s="10" t="s">
        <v>89</v>
      </c>
      <c r="F143" s="7" t="s">
        <v>90</v>
      </c>
      <c r="G143" s="7" t="s">
        <v>102</v>
      </c>
      <c r="O143" s="8" t="s">
        <v>79</v>
      </c>
      <c r="P143" s="8" t="s">
        <v>80</v>
      </c>
      <c r="Q143" s="8" t="s">
        <v>81</v>
      </c>
      <c r="R143" s="10" t="s">
        <v>82</v>
      </c>
      <c r="T143" s="7" t="str">
        <f aca="false">_xlfn.TEXTJOIN( , ,B143,C143)</f>
        <v>electrical_room_section2Spot Cam - PTZ - 42 spot-cam-ptz.jpg</v>
      </c>
    </row>
    <row r="144" s="7" customFormat="true" ht="15.75" hidden="false" customHeight="true" outlineLevel="0" collapsed="false">
      <c r="A144" s="7" t="s">
        <v>20</v>
      </c>
      <c r="B144" s="7" t="s">
        <v>74</v>
      </c>
      <c r="C144" s="7" t="s">
        <v>168</v>
      </c>
      <c r="D144" s="10" t="s">
        <v>169</v>
      </c>
      <c r="E144" s="7" t="s">
        <v>143</v>
      </c>
      <c r="F144" s="7" t="s">
        <v>143</v>
      </c>
      <c r="G144" s="7" t="s">
        <v>44</v>
      </c>
      <c r="O144" s="8" t="s">
        <v>79</v>
      </c>
      <c r="P144" s="8" t="s">
        <v>144</v>
      </c>
      <c r="Q144" s="8" t="s">
        <v>81</v>
      </c>
      <c r="S144" s="11" t="s">
        <v>145</v>
      </c>
      <c r="T144" s="7" t="str">
        <f aca="false">_xlfn.TEXTJOIN( , ,B144,C144)</f>
        <v>electrical_room_section2Spot Cam - PTZ - 43 spot-cam-ptz.jpg</v>
      </c>
    </row>
    <row r="145" s="7" customFormat="true" ht="15.75" hidden="true" customHeight="true" outlineLevel="0" collapsed="false">
      <c r="A145" s="7" t="s">
        <v>20</v>
      </c>
      <c r="B145" s="7" t="s">
        <v>74</v>
      </c>
      <c r="C145" s="7" t="s">
        <v>170</v>
      </c>
      <c r="D145" s="10" t="s">
        <v>169</v>
      </c>
      <c r="E145" s="10" t="s">
        <v>92</v>
      </c>
      <c r="F145" s="7" t="s">
        <v>93</v>
      </c>
      <c r="G145" s="7" t="s">
        <v>78</v>
      </c>
      <c r="O145" s="8" t="s">
        <v>147</v>
      </c>
      <c r="P145" s="8" t="s">
        <v>148</v>
      </c>
      <c r="T145" s="7" t="str">
        <f aca="false">_xlfn.TEXTJOIN( , ,B145,C145)</f>
        <v>electrical_room_section2Spot Cam - PTZ - 44 spot-cam-ptz.jpg</v>
      </c>
    </row>
    <row r="146" s="7" customFormat="true" ht="15.75" hidden="true" customHeight="true" outlineLevel="0" collapsed="false">
      <c r="A146" s="7" t="s">
        <v>20</v>
      </c>
      <c r="B146" s="7" t="s">
        <v>74</v>
      </c>
      <c r="C146" s="7" t="s">
        <v>171</v>
      </c>
      <c r="D146" s="10" t="s">
        <v>172</v>
      </c>
      <c r="E146" s="10" t="s">
        <v>83</v>
      </c>
      <c r="F146" s="7" t="s">
        <v>84</v>
      </c>
      <c r="G146" s="7" t="s">
        <v>78</v>
      </c>
      <c r="O146" s="8" t="s">
        <v>79</v>
      </c>
      <c r="P146" s="8" t="s">
        <v>80</v>
      </c>
      <c r="Q146" s="8" t="s">
        <v>81</v>
      </c>
      <c r="R146" s="10" t="s">
        <v>82</v>
      </c>
      <c r="T146" s="7" t="str">
        <f aca="false">_xlfn.TEXTJOIN( , ,B146,C146)</f>
        <v>electrical_room_section2Spot Cam - PTZ - 45 spot-cam-ptz.jpg</v>
      </c>
    </row>
    <row r="147" s="7" customFormat="true" ht="15.75" hidden="true" customHeight="true" outlineLevel="0" collapsed="false">
      <c r="A147" s="7" t="s">
        <v>20</v>
      </c>
      <c r="B147" s="7" t="s">
        <v>74</v>
      </c>
      <c r="C147" s="7" t="s">
        <v>171</v>
      </c>
      <c r="D147" s="10" t="s">
        <v>172</v>
      </c>
      <c r="E147" s="10" t="s">
        <v>85</v>
      </c>
      <c r="F147" s="7" t="s">
        <v>84</v>
      </c>
      <c r="G147" s="7" t="s">
        <v>78</v>
      </c>
      <c r="O147" s="8" t="s">
        <v>79</v>
      </c>
      <c r="P147" s="8" t="s">
        <v>80</v>
      </c>
      <c r="Q147" s="8" t="s">
        <v>81</v>
      </c>
      <c r="R147" s="10" t="s">
        <v>82</v>
      </c>
      <c r="T147" s="7" t="str">
        <f aca="false">_xlfn.TEXTJOIN( , ,B147,C147)</f>
        <v>electrical_room_section2Spot Cam - PTZ - 45 spot-cam-ptz.jpg</v>
      </c>
    </row>
    <row r="148" s="7" customFormat="true" ht="15.75" hidden="true" customHeight="true" outlineLevel="0" collapsed="false">
      <c r="A148" s="7" t="s">
        <v>20</v>
      </c>
      <c r="B148" s="7" t="s">
        <v>74</v>
      </c>
      <c r="C148" s="7" t="s">
        <v>171</v>
      </c>
      <c r="D148" s="10" t="s">
        <v>172</v>
      </c>
      <c r="E148" s="10" t="s">
        <v>154</v>
      </c>
      <c r="F148" s="7" t="s">
        <v>84</v>
      </c>
      <c r="G148" s="7" t="s">
        <v>78</v>
      </c>
      <c r="O148" s="8" t="s">
        <v>79</v>
      </c>
      <c r="P148" s="8" t="s">
        <v>80</v>
      </c>
      <c r="Q148" s="8" t="s">
        <v>81</v>
      </c>
      <c r="R148" s="10" t="s">
        <v>82</v>
      </c>
      <c r="T148" s="7" t="str">
        <f aca="false">_xlfn.TEXTJOIN( , ,B148,C148)</f>
        <v>electrical_room_section2Spot Cam - PTZ - 45 spot-cam-ptz.jpg</v>
      </c>
    </row>
    <row r="149" s="7" customFormat="true" ht="15.75" hidden="true" customHeight="true" outlineLevel="0" collapsed="false">
      <c r="A149" s="7" t="s">
        <v>20</v>
      </c>
      <c r="B149" s="7" t="s">
        <v>74</v>
      </c>
      <c r="C149" s="7" t="s">
        <v>171</v>
      </c>
      <c r="D149" s="10" t="s">
        <v>172</v>
      </c>
      <c r="E149" s="10" t="s">
        <v>86</v>
      </c>
      <c r="F149" s="7" t="s">
        <v>84</v>
      </c>
      <c r="G149" s="7" t="s">
        <v>78</v>
      </c>
      <c r="O149" s="8" t="s">
        <v>79</v>
      </c>
      <c r="P149" s="8" t="s">
        <v>80</v>
      </c>
      <c r="Q149" s="8" t="s">
        <v>81</v>
      </c>
      <c r="R149" s="10" t="s">
        <v>82</v>
      </c>
      <c r="T149" s="7" t="str">
        <f aca="false">_xlfn.TEXTJOIN( , ,B149,C149)</f>
        <v>electrical_room_section2Spot Cam - PTZ - 45 spot-cam-ptz.jpg</v>
      </c>
    </row>
    <row r="150" s="7" customFormat="true" ht="15.75" hidden="true" customHeight="true" outlineLevel="0" collapsed="false">
      <c r="A150" s="7" t="s">
        <v>20</v>
      </c>
      <c r="B150" s="7" t="s">
        <v>74</v>
      </c>
      <c r="C150" s="7" t="s">
        <v>171</v>
      </c>
      <c r="D150" s="10" t="s">
        <v>172</v>
      </c>
      <c r="E150" s="10" t="s">
        <v>92</v>
      </c>
      <c r="F150" s="7" t="s">
        <v>93</v>
      </c>
      <c r="G150" s="7" t="s">
        <v>78</v>
      </c>
      <c r="O150" s="8" t="s">
        <v>79</v>
      </c>
      <c r="P150" s="8" t="s">
        <v>80</v>
      </c>
      <c r="Q150" s="8" t="s">
        <v>81</v>
      </c>
      <c r="R150" s="10" t="s">
        <v>82</v>
      </c>
      <c r="T150" s="7" t="str">
        <f aca="false">_xlfn.TEXTJOIN( , ,B150,C150)</f>
        <v>electrical_room_section2Spot Cam - PTZ - 45 spot-cam-ptz.jpg</v>
      </c>
    </row>
    <row r="151" s="7" customFormat="true" ht="15.75" hidden="true" customHeight="true" outlineLevel="0" collapsed="false">
      <c r="A151" s="7" t="s">
        <v>20</v>
      </c>
      <c r="B151" s="7" t="s">
        <v>74</v>
      </c>
      <c r="C151" s="7" t="s">
        <v>173</v>
      </c>
      <c r="D151" s="10" t="s">
        <v>172</v>
      </c>
      <c r="E151" s="10" t="s">
        <v>76</v>
      </c>
      <c r="F151" s="7" t="s">
        <v>94</v>
      </c>
      <c r="G151" s="7" t="s">
        <v>78</v>
      </c>
      <c r="O151" s="8" t="s">
        <v>79</v>
      </c>
      <c r="P151" s="8" t="s">
        <v>80</v>
      </c>
      <c r="Q151" s="8" t="s">
        <v>81</v>
      </c>
      <c r="R151" s="10" t="s">
        <v>82</v>
      </c>
      <c r="T151" s="7" t="str">
        <f aca="false">_xlfn.TEXTJOIN( , ,B151,C151)</f>
        <v>electrical_room_section2Spot Cam - PTZ - 46 spot-cam-ptz.jpg</v>
      </c>
    </row>
    <row r="152" s="7" customFormat="true" ht="15" hidden="true" customHeight="true" outlineLevel="0" collapsed="false">
      <c r="A152" s="7" t="s">
        <v>20</v>
      </c>
      <c r="B152" s="7" t="s">
        <v>74</v>
      </c>
      <c r="C152" s="7" t="s">
        <v>173</v>
      </c>
      <c r="D152" s="10" t="s">
        <v>172</v>
      </c>
      <c r="E152" s="7" t="s">
        <v>156</v>
      </c>
      <c r="F152" s="7" t="s">
        <v>94</v>
      </c>
      <c r="G152" s="7" t="s">
        <v>78</v>
      </c>
      <c r="O152" s="8" t="s">
        <v>79</v>
      </c>
      <c r="P152" s="8" t="s">
        <v>80</v>
      </c>
      <c r="Q152" s="8" t="s">
        <v>81</v>
      </c>
      <c r="R152" s="10" t="s">
        <v>82</v>
      </c>
      <c r="T152" s="7" t="str">
        <f aca="false">_xlfn.TEXTJOIN( , ,B152,C152)</f>
        <v>electrical_room_section2Spot Cam - PTZ - 46 spot-cam-ptz.jpg</v>
      </c>
    </row>
    <row r="153" s="7" customFormat="true" ht="15" hidden="true" customHeight="true" outlineLevel="0" collapsed="false">
      <c r="A153" s="7" t="s">
        <v>20</v>
      </c>
      <c r="B153" s="7" t="s">
        <v>74</v>
      </c>
      <c r="C153" s="7" t="s">
        <v>173</v>
      </c>
      <c r="D153" s="10" t="s">
        <v>172</v>
      </c>
      <c r="E153" s="7" t="s">
        <v>157</v>
      </c>
      <c r="F153" s="7" t="s">
        <v>94</v>
      </c>
      <c r="G153" s="7" t="s">
        <v>78</v>
      </c>
      <c r="O153" s="8" t="s">
        <v>79</v>
      </c>
      <c r="P153" s="8" t="s">
        <v>80</v>
      </c>
      <c r="Q153" s="8" t="s">
        <v>81</v>
      </c>
      <c r="R153" s="10" t="s">
        <v>82</v>
      </c>
      <c r="T153" s="7" t="str">
        <f aca="false">_xlfn.TEXTJOIN( , ,B153,C153)</f>
        <v>electrical_room_section2Spot Cam - PTZ - 46 spot-cam-ptz.jpg</v>
      </c>
    </row>
    <row r="154" s="7" customFormat="true" ht="15.75" hidden="true" customHeight="true" outlineLevel="0" collapsed="false">
      <c r="A154" s="7" t="s">
        <v>20</v>
      </c>
      <c r="B154" s="7" t="s">
        <v>74</v>
      </c>
      <c r="C154" s="7" t="s">
        <v>173</v>
      </c>
      <c r="D154" s="10" t="s">
        <v>172</v>
      </c>
      <c r="E154" s="10" t="s">
        <v>87</v>
      </c>
      <c r="F154" s="7" t="s">
        <v>95</v>
      </c>
      <c r="G154" s="7" t="s">
        <v>78</v>
      </c>
      <c r="O154" s="8" t="s">
        <v>79</v>
      </c>
      <c r="P154" s="8" t="s">
        <v>80</v>
      </c>
      <c r="Q154" s="8" t="s">
        <v>81</v>
      </c>
      <c r="R154" s="10" t="s">
        <v>82</v>
      </c>
      <c r="T154" s="7" t="str">
        <f aca="false">_xlfn.TEXTJOIN( , ,B154,C154)</f>
        <v>electrical_room_section2Spot Cam - PTZ - 46 spot-cam-ptz.jpg</v>
      </c>
    </row>
    <row r="155" s="7" customFormat="true" ht="15.75" hidden="true" customHeight="true" outlineLevel="0" collapsed="false">
      <c r="A155" s="7" t="s">
        <v>20</v>
      </c>
      <c r="B155" s="7" t="s">
        <v>74</v>
      </c>
      <c r="C155" s="7" t="s">
        <v>173</v>
      </c>
      <c r="D155" s="10" t="s">
        <v>172</v>
      </c>
      <c r="E155" s="7" t="s">
        <v>158</v>
      </c>
      <c r="F155" s="7" t="s">
        <v>95</v>
      </c>
      <c r="G155" s="7" t="s">
        <v>78</v>
      </c>
      <c r="O155" s="8" t="s">
        <v>79</v>
      </c>
      <c r="P155" s="8" t="s">
        <v>80</v>
      </c>
      <c r="Q155" s="8" t="s">
        <v>81</v>
      </c>
      <c r="R155" s="10" t="s">
        <v>82</v>
      </c>
      <c r="T155" s="7" t="str">
        <f aca="false">_xlfn.TEXTJOIN( , ,B155,C155)</f>
        <v>electrical_room_section2Spot Cam - PTZ - 46 spot-cam-ptz.jpg</v>
      </c>
    </row>
    <row r="156" s="7" customFormat="true" ht="15.75" hidden="true" customHeight="true" outlineLevel="0" collapsed="false">
      <c r="A156" s="7" t="s">
        <v>20</v>
      </c>
      <c r="B156" s="7" t="s">
        <v>74</v>
      </c>
      <c r="C156" s="7" t="s">
        <v>173</v>
      </c>
      <c r="D156" s="10" t="s">
        <v>172</v>
      </c>
      <c r="E156" s="7" t="s">
        <v>159</v>
      </c>
      <c r="F156" s="7" t="s">
        <v>95</v>
      </c>
      <c r="G156" s="7" t="s">
        <v>78</v>
      </c>
      <c r="O156" s="8" t="s">
        <v>79</v>
      </c>
      <c r="P156" s="8" t="s">
        <v>80</v>
      </c>
      <c r="Q156" s="8" t="s">
        <v>81</v>
      </c>
      <c r="R156" s="10" t="s">
        <v>82</v>
      </c>
      <c r="T156" s="7" t="str">
        <f aca="false">_xlfn.TEXTJOIN( , ,B156,C156)</f>
        <v>electrical_room_section2Spot Cam - PTZ - 46 spot-cam-ptz.jpg</v>
      </c>
    </row>
    <row r="157" s="7" customFormat="true" ht="15.75" hidden="true" customHeight="true" outlineLevel="0" collapsed="false">
      <c r="A157" s="7" t="s">
        <v>20</v>
      </c>
      <c r="B157" s="7" t="s">
        <v>74</v>
      </c>
      <c r="C157" s="7" t="s">
        <v>173</v>
      </c>
      <c r="D157" s="10" t="s">
        <v>172</v>
      </c>
      <c r="E157" s="10" t="s">
        <v>96</v>
      </c>
      <c r="F157" s="7" t="s">
        <v>101</v>
      </c>
      <c r="G157" s="7" t="s">
        <v>102</v>
      </c>
      <c r="O157" s="8" t="s">
        <v>79</v>
      </c>
      <c r="P157" s="8" t="s">
        <v>80</v>
      </c>
      <c r="Q157" s="8" t="s">
        <v>81</v>
      </c>
      <c r="R157" s="10" t="s">
        <v>82</v>
      </c>
      <c r="T157" s="7" t="str">
        <f aca="false">_xlfn.TEXTJOIN( , ,B157,C157)</f>
        <v>electrical_room_section2Spot Cam - PTZ - 46 spot-cam-ptz.jpg</v>
      </c>
    </row>
    <row r="158" s="7" customFormat="true" ht="15.75" hidden="true" customHeight="true" outlineLevel="0" collapsed="false">
      <c r="A158" s="7" t="s">
        <v>20</v>
      </c>
      <c r="B158" s="7" t="s">
        <v>74</v>
      </c>
      <c r="C158" s="7" t="s">
        <v>173</v>
      </c>
      <c r="D158" s="10" t="s">
        <v>172</v>
      </c>
      <c r="E158" s="7" t="s">
        <v>160</v>
      </c>
      <c r="F158" s="7" t="s">
        <v>161</v>
      </c>
      <c r="G158" s="7" t="s">
        <v>102</v>
      </c>
      <c r="O158" s="8" t="s">
        <v>79</v>
      </c>
      <c r="P158" s="8" t="s">
        <v>80</v>
      </c>
      <c r="Q158" s="8" t="s">
        <v>81</v>
      </c>
      <c r="R158" s="10" t="s">
        <v>82</v>
      </c>
      <c r="T158" s="7" t="str">
        <f aca="false">_xlfn.TEXTJOIN( , ,B158,C158)</f>
        <v>electrical_room_section2Spot Cam - PTZ - 46 spot-cam-ptz.jpg</v>
      </c>
    </row>
    <row r="159" s="7" customFormat="true" ht="15.75" hidden="true" customHeight="true" outlineLevel="0" collapsed="false">
      <c r="A159" s="7" t="s">
        <v>20</v>
      </c>
      <c r="B159" s="7" t="s">
        <v>74</v>
      </c>
      <c r="C159" s="7" t="s">
        <v>173</v>
      </c>
      <c r="D159" s="10" t="s">
        <v>172</v>
      </c>
      <c r="E159" s="7" t="s">
        <v>162</v>
      </c>
      <c r="F159" s="7" t="s">
        <v>161</v>
      </c>
      <c r="G159" s="7" t="s">
        <v>102</v>
      </c>
      <c r="O159" s="8" t="s">
        <v>79</v>
      </c>
      <c r="P159" s="8" t="s">
        <v>80</v>
      </c>
      <c r="Q159" s="8" t="s">
        <v>81</v>
      </c>
      <c r="R159" s="10" t="s">
        <v>82</v>
      </c>
      <c r="T159" s="7" t="str">
        <f aca="false">_xlfn.TEXTJOIN( , ,B159,C159)</f>
        <v>electrical_room_section2Spot Cam - PTZ - 46 spot-cam-ptz.jpg</v>
      </c>
    </row>
    <row r="160" s="7" customFormat="true" ht="15.75" hidden="true" customHeight="true" outlineLevel="0" collapsed="false">
      <c r="A160" s="7" t="s">
        <v>20</v>
      </c>
      <c r="B160" s="7" t="s">
        <v>74</v>
      </c>
      <c r="C160" s="7" t="s">
        <v>174</v>
      </c>
      <c r="D160" s="10" t="s">
        <v>172</v>
      </c>
      <c r="E160" s="10" t="s">
        <v>175</v>
      </c>
      <c r="F160" s="7" t="s">
        <v>77</v>
      </c>
      <c r="G160" s="7" t="s">
        <v>78</v>
      </c>
      <c r="O160" s="8" t="s">
        <v>79</v>
      </c>
      <c r="P160" s="8" t="s">
        <v>80</v>
      </c>
      <c r="Q160" s="8" t="s">
        <v>81</v>
      </c>
      <c r="R160" s="10" t="s">
        <v>82</v>
      </c>
      <c r="T160" s="7" t="str">
        <f aca="false">_xlfn.TEXTJOIN( , ,B160,C160)</f>
        <v>electrical_room_section2Spot Cam - PTZ - 47 spot-cam-ptz.jpg</v>
      </c>
    </row>
    <row r="161" s="7" customFormat="true" ht="15.75" hidden="true" customHeight="true" outlineLevel="0" collapsed="false">
      <c r="A161" s="7" t="s">
        <v>20</v>
      </c>
      <c r="B161" s="7" t="s">
        <v>74</v>
      </c>
      <c r="C161" s="7" t="s">
        <v>174</v>
      </c>
      <c r="D161" s="10" t="s">
        <v>172</v>
      </c>
      <c r="E161" s="10" t="s">
        <v>176</v>
      </c>
      <c r="F161" s="7" t="s">
        <v>88</v>
      </c>
      <c r="G161" s="7" t="s">
        <v>78</v>
      </c>
      <c r="O161" s="8" t="s">
        <v>79</v>
      </c>
      <c r="P161" s="8" t="s">
        <v>80</v>
      </c>
      <c r="Q161" s="8" t="s">
        <v>81</v>
      </c>
      <c r="R161" s="10" t="s">
        <v>82</v>
      </c>
      <c r="T161" s="7" t="str">
        <f aca="false">_xlfn.TEXTJOIN( , ,B161,C161)</f>
        <v>electrical_room_section2Spot Cam - PTZ - 47 spot-cam-ptz.jpg</v>
      </c>
    </row>
    <row r="162" s="7" customFormat="true" ht="15.75" hidden="true" customHeight="true" outlineLevel="0" collapsed="false">
      <c r="A162" s="7" t="s">
        <v>20</v>
      </c>
      <c r="B162" s="7" t="s">
        <v>74</v>
      </c>
      <c r="C162" s="7" t="s">
        <v>174</v>
      </c>
      <c r="D162" s="10" t="s">
        <v>172</v>
      </c>
      <c r="E162" s="10" t="s">
        <v>96</v>
      </c>
      <c r="F162" s="7" t="s">
        <v>101</v>
      </c>
      <c r="G162" s="7" t="s">
        <v>102</v>
      </c>
      <c r="O162" s="8" t="s">
        <v>79</v>
      </c>
      <c r="P162" s="8" t="s">
        <v>80</v>
      </c>
      <c r="Q162" s="8" t="s">
        <v>81</v>
      </c>
      <c r="R162" s="10" t="s">
        <v>82</v>
      </c>
      <c r="T162" s="7" t="str">
        <f aca="false">_xlfn.TEXTJOIN( , ,B162,C162)</f>
        <v>electrical_room_section2Spot Cam - PTZ - 47 spot-cam-ptz.jpg</v>
      </c>
    </row>
    <row r="163" s="7" customFormat="true" ht="15.75" hidden="true" customHeight="true" outlineLevel="0" collapsed="false">
      <c r="A163" s="7" t="s">
        <v>20</v>
      </c>
      <c r="B163" s="7" t="s">
        <v>74</v>
      </c>
      <c r="C163" s="7" t="s">
        <v>177</v>
      </c>
      <c r="D163" s="10" t="s">
        <v>172</v>
      </c>
      <c r="E163" s="7" t="s">
        <v>164</v>
      </c>
      <c r="F163" s="7" t="s">
        <v>106</v>
      </c>
      <c r="G163" s="7" t="s">
        <v>78</v>
      </c>
      <c r="O163" s="8" t="s">
        <v>79</v>
      </c>
      <c r="P163" s="8" t="s">
        <v>80</v>
      </c>
      <c r="Q163" s="8" t="s">
        <v>81</v>
      </c>
      <c r="R163" s="10" t="s">
        <v>82</v>
      </c>
      <c r="T163" s="7" t="str">
        <f aca="false">_xlfn.TEXTJOIN( , ,B163,C163)</f>
        <v>electrical_room_section2Spot Cam - PTZ - 48 spot-cam-ptz.jpg</v>
      </c>
    </row>
    <row r="164" s="7" customFormat="true" ht="15.75" hidden="true" customHeight="true" outlineLevel="0" collapsed="false">
      <c r="A164" s="7" t="s">
        <v>20</v>
      </c>
      <c r="B164" s="7" t="s">
        <v>74</v>
      </c>
      <c r="C164" s="12" t="s">
        <v>178</v>
      </c>
      <c r="D164" s="10" t="s">
        <v>179</v>
      </c>
      <c r="E164" s="10" t="s">
        <v>180</v>
      </c>
      <c r="F164" s="7" t="s">
        <v>181</v>
      </c>
      <c r="G164" s="7" t="s">
        <v>78</v>
      </c>
      <c r="I164" s="8" t="s">
        <v>79</v>
      </c>
      <c r="J164" s="8" t="s">
        <v>80</v>
      </c>
      <c r="K164" s="8" t="s">
        <v>81</v>
      </c>
      <c r="L164" s="10" t="s">
        <v>82</v>
      </c>
      <c r="T164" s="7" t="str">
        <f aca="false">_xlfn.TEXTJOIN( , ,B164,C164)</f>
        <v>electrical_room_section2Spot Cam - PTZ - 49 spot-cam-ptz.jpg</v>
      </c>
    </row>
    <row r="165" s="7" customFormat="true" ht="15.75" hidden="true" customHeight="true" outlineLevel="0" collapsed="false">
      <c r="A165" s="7" t="s">
        <v>20</v>
      </c>
      <c r="B165" s="7" t="s">
        <v>74</v>
      </c>
      <c r="C165" s="12" t="s">
        <v>178</v>
      </c>
      <c r="D165" s="10" t="s">
        <v>179</v>
      </c>
      <c r="E165" s="10" t="s">
        <v>86</v>
      </c>
      <c r="F165" s="7" t="s">
        <v>182</v>
      </c>
      <c r="G165" s="7" t="s">
        <v>78</v>
      </c>
      <c r="T165" s="7" t="str">
        <f aca="false">_xlfn.TEXTJOIN( , ,B165,C165)</f>
        <v>electrical_room_section2Spot Cam - PTZ - 49 spot-cam-ptz.jpg</v>
      </c>
    </row>
    <row r="166" s="7" customFormat="true" ht="15.75" hidden="true" customHeight="true" outlineLevel="0" collapsed="false">
      <c r="A166" s="7" t="s">
        <v>20</v>
      </c>
      <c r="B166" s="7" t="s">
        <v>74</v>
      </c>
      <c r="C166" s="12" t="s">
        <v>178</v>
      </c>
      <c r="D166" s="10" t="s">
        <v>179</v>
      </c>
      <c r="E166" s="10" t="s">
        <v>183</v>
      </c>
      <c r="F166" s="7" t="s">
        <v>182</v>
      </c>
      <c r="G166" s="7" t="s">
        <v>78</v>
      </c>
      <c r="T166" s="7" t="str">
        <f aca="false">_xlfn.TEXTJOIN( , ,B166,C166)</f>
        <v>electrical_room_section2Spot Cam - PTZ - 49 spot-cam-ptz.jpg</v>
      </c>
    </row>
    <row r="167" s="7" customFormat="true" ht="15.75" hidden="true" customHeight="true" outlineLevel="0" collapsed="false">
      <c r="A167" s="7" t="s">
        <v>20</v>
      </c>
      <c r="B167" s="7" t="s">
        <v>74</v>
      </c>
      <c r="C167" s="12" t="s">
        <v>178</v>
      </c>
      <c r="D167" s="10" t="s">
        <v>179</v>
      </c>
      <c r="E167" s="10" t="s">
        <v>184</v>
      </c>
      <c r="F167" s="7" t="s">
        <v>182</v>
      </c>
      <c r="G167" s="7" t="s">
        <v>78</v>
      </c>
      <c r="T167" s="7" t="str">
        <f aca="false">_xlfn.TEXTJOIN( , ,B167,C167)</f>
        <v>electrical_room_section2Spot Cam - PTZ - 49 spot-cam-ptz.jpg</v>
      </c>
    </row>
    <row r="168" s="7" customFormat="true" ht="15.75" hidden="true" customHeight="true" outlineLevel="0" collapsed="false">
      <c r="A168" s="7" t="s">
        <v>20</v>
      </c>
      <c r="B168" s="7" t="s">
        <v>74</v>
      </c>
      <c r="C168" s="12" t="s">
        <v>178</v>
      </c>
      <c r="D168" s="10" t="s">
        <v>179</v>
      </c>
      <c r="E168" s="10" t="s">
        <v>185</v>
      </c>
      <c r="F168" s="7" t="s">
        <v>182</v>
      </c>
      <c r="G168" s="7" t="s">
        <v>78</v>
      </c>
      <c r="T168" s="7" t="str">
        <f aca="false">_xlfn.TEXTJOIN( , ,B168,C168)</f>
        <v>electrical_room_section2Spot Cam - PTZ - 49 spot-cam-ptz.jpg</v>
      </c>
    </row>
    <row r="169" s="7" customFormat="true" ht="15.75" hidden="true" customHeight="true" outlineLevel="0" collapsed="false">
      <c r="A169" s="7" t="s">
        <v>20</v>
      </c>
      <c r="B169" s="7" t="s">
        <v>74</v>
      </c>
      <c r="C169" s="12" t="s">
        <v>178</v>
      </c>
      <c r="D169" s="10" t="s">
        <v>179</v>
      </c>
      <c r="E169" s="10" t="s">
        <v>186</v>
      </c>
      <c r="F169" s="7" t="s">
        <v>182</v>
      </c>
      <c r="G169" s="7" t="s">
        <v>78</v>
      </c>
      <c r="T169" s="7" t="str">
        <f aca="false">_xlfn.TEXTJOIN( , ,B169,C169)</f>
        <v>electrical_room_section2Spot Cam - PTZ - 49 spot-cam-ptz.jpg</v>
      </c>
    </row>
    <row r="170" s="7" customFormat="true" ht="15.75" hidden="true" customHeight="true" outlineLevel="0" collapsed="false">
      <c r="A170" s="7" t="s">
        <v>20</v>
      </c>
      <c r="B170" s="7" t="s">
        <v>74</v>
      </c>
      <c r="C170" s="12" t="s">
        <v>178</v>
      </c>
      <c r="D170" s="10" t="s">
        <v>179</v>
      </c>
      <c r="E170" s="10" t="s">
        <v>187</v>
      </c>
      <c r="F170" s="7" t="s">
        <v>182</v>
      </c>
      <c r="G170" s="7" t="s">
        <v>78</v>
      </c>
      <c r="T170" s="7" t="str">
        <f aca="false">_xlfn.TEXTJOIN( , ,B170,C170)</f>
        <v>electrical_room_section2Spot Cam - PTZ - 49 spot-cam-ptz.jpg</v>
      </c>
    </row>
    <row r="171" s="7" customFormat="true" ht="15.75" hidden="true" customHeight="true" outlineLevel="0" collapsed="false">
      <c r="A171" s="7" t="s">
        <v>20</v>
      </c>
      <c r="B171" s="7" t="s">
        <v>74</v>
      </c>
      <c r="C171" s="12" t="s">
        <v>178</v>
      </c>
      <c r="D171" s="10" t="s">
        <v>179</v>
      </c>
      <c r="E171" s="10" t="s">
        <v>188</v>
      </c>
      <c r="F171" s="7" t="s">
        <v>182</v>
      </c>
      <c r="G171" s="7" t="s">
        <v>78</v>
      </c>
      <c r="T171" s="7" t="str">
        <f aca="false">_xlfn.TEXTJOIN( , ,B171,C171)</f>
        <v>electrical_room_section2Spot Cam - PTZ - 49 spot-cam-ptz.jpg</v>
      </c>
    </row>
    <row r="172" s="7" customFormat="true" ht="15.75" hidden="true" customHeight="true" outlineLevel="0" collapsed="false">
      <c r="A172" s="7" t="s">
        <v>20</v>
      </c>
      <c r="B172" s="7" t="s">
        <v>74</v>
      </c>
      <c r="C172" s="12" t="s">
        <v>178</v>
      </c>
      <c r="D172" s="10" t="s">
        <v>179</v>
      </c>
      <c r="E172" s="10" t="s">
        <v>189</v>
      </c>
      <c r="F172" s="7" t="s">
        <v>182</v>
      </c>
      <c r="G172" s="7" t="s">
        <v>78</v>
      </c>
      <c r="T172" s="7" t="str">
        <f aca="false">_xlfn.TEXTJOIN( , ,B172,C172)</f>
        <v>electrical_room_section2Spot Cam - PTZ - 49 spot-cam-ptz.jpg</v>
      </c>
    </row>
    <row r="173" s="7" customFormat="true" ht="15.75" hidden="true" customHeight="true" outlineLevel="0" collapsed="false">
      <c r="A173" s="7" t="s">
        <v>20</v>
      </c>
      <c r="B173" s="7" t="s">
        <v>74</v>
      </c>
      <c r="C173" s="12" t="s">
        <v>178</v>
      </c>
      <c r="D173" s="10" t="s">
        <v>179</v>
      </c>
      <c r="E173" s="10" t="s">
        <v>190</v>
      </c>
      <c r="F173" s="7" t="s">
        <v>182</v>
      </c>
      <c r="G173" s="7" t="s">
        <v>78</v>
      </c>
      <c r="T173" s="7" t="str">
        <f aca="false">_xlfn.TEXTJOIN( , ,B173,C173)</f>
        <v>electrical_room_section2Spot Cam - PTZ - 49 spot-cam-ptz.jpg</v>
      </c>
    </row>
    <row r="174" s="7" customFormat="true" ht="15.75" hidden="true" customHeight="true" outlineLevel="0" collapsed="false">
      <c r="A174" s="7" t="s">
        <v>20</v>
      </c>
      <c r="B174" s="7" t="s">
        <v>74</v>
      </c>
      <c r="C174" s="12" t="s">
        <v>178</v>
      </c>
      <c r="D174" s="10" t="s">
        <v>179</v>
      </c>
      <c r="E174" s="10" t="s">
        <v>191</v>
      </c>
      <c r="F174" s="7" t="s">
        <v>182</v>
      </c>
      <c r="G174" s="7" t="s">
        <v>78</v>
      </c>
      <c r="T174" s="7" t="str">
        <f aca="false">_xlfn.TEXTJOIN( , ,B174,C174)</f>
        <v>electrical_room_section2Spot Cam - PTZ - 49 spot-cam-ptz.jpg</v>
      </c>
    </row>
    <row r="175" s="7" customFormat="true" ht="15.75" hidden="true" customHeight="true" outlineLevel="0" collapsed="false">
      <c r="A175" s="7" t="s">
        <v>20</v>
      </c>
      <c r="B175" s="7" t="s">
        <v>74</v>
      </c>
      <c r="C175" s="12" t="s">
        <v>178</v>
      </c>
      <c r="D175" s="10" t="s">
        <v>179</v>
      </c>
      <c r="E175" s="10" t="s">
        <v>192</v>
      </c>
      <c r="F175" s="7" t="s">
        <v>182</v>
      </c>
      <c r="G175" s="7" t="s">
        <v>78</v>
      </c>
      <c r="T175" s="7" t="str">
        <f aca="false">_xlfn.TEXTJOIN( , ,B175,C175)</f>
        <v>electrical_room_section2Spot Cam - PTZ - 49 spot-cam-ptz.jpg</v>
      </c>
    </row>
    <row r="176" s="7" customFormat="true" ht="15.75" hidden="true" customHeight="true" outlineLevel="0" collapsed="false">
      <c r="A176" s="7" t="s">
        <v>20</v>
      </c>
      <c r="B176" s="7" t="s">
        <v>74</v>
      </c>
      <c r="C176" s="12" t="s">
        <v>178</v>
      </c>
      <c r="D176" s="10" t="s">
        <v>179</v>
      </c>
      <c r="E176" s="10" t="s">
        <v>193</v>
      </c>
      <c r="F176" s="7" t="s">
        <v>182</v>
      </c>
      <c r="G176" s="7" t="s">
        <v>78</v>
      </c>
      <c r="T176" s="7" t="str">
        <f aca="false">_xlfn.TEXTJOIN( , ,B176,C176)</f>
        <v>electrical_room_section2Spot Cam - PTZ - 49 spot-cam-ptz.jpg</v>
      </c>
    </row>
    <row r="177" s="7" customFormat="true" ht="15.75" hidden="true" customHeight="true" outlineLevel="0" collapsed="false">
      <c r="A177" s="7" t="s">
        <v>20</v>
      </c>
      <c r="B177" s="7" t="s">
        <v>74</v>
      </c>
      <c r="C177" s="12" t="s">
        <v>178</v>
      </c>
      <c r="D177" s="10" t="s">
        <v>179</v>
      </c>
      <c r="E177" s="10" t="s">
        <v>86</v>
      </c>
      <c r="F177" s="7" t="s">
        <v>84</v>
      </c>
      <c r="G177" s="7" t="s">
        <v>78</v>
      </c>
      <c r="T177" s="7" t="str">
        <f aca="false">_xlfn.TEXTJOIN( , ,B177,C177)</f>
        <v>electrical_room_section2Spot Cam - PTZ - 49 spot-cam-ptz.jpg</v>
      </c>
    </row>
    <row r="178" s="7" customFormat="true" ht="15.75" hidden="true" customHeight="true" outlineLevel="0" collapsed="false">
      <c r="A178" s="7" t="s">
        <v>20</v>
      </c>
      <c r="B178" s="7" t="s">
        <v>74</v>
      </c>
      <c r="C178" s="12" t="s">
        <v>178</v>
      </c>
      <c r="D178" s="10" t="s">
        <v>179</v>
      </c>
      <c r="E178" s="10" t="s">
        <v>86</v>
      </c>
      <c r="F178" s="7" t="s">
        <v>84</v>
      </c>
      <c r="G178" s="7" t="s">
        <v>78</v>
      </c>
      <c r="T178" s="7" t="str">
        <f aca="false">_xlfn.TEXTJOIN( , ,B178,C178)</f>
        <v>electrical_room_section2Spot Cam - PTZ - 49 spot-cam-ptz.jpg</v>
      </c>
    </row>
    <row r="179" s="7" customFormat="true" ht="15.75" hidden="true" customHeight="true" outlineLevel="0" collapsed="false">
      <c r="A179" s="7" t="s">
        <v>20</v>
      </c>
      <c r="B179" s="7" t="s">
        <v>74</v>
      </c>
      <c r="C179" s="12" t="s">
        <v>178</v>
      </c>
      <c r="D179" s="10" t="s">
        <v>179</v>
      </c>
      <c r="E179" s="10" t="s">
        <v>86</v>
      </c>
      <c r="F179" s="7" t="s">
        <v>84</v>
      </c>
      <c r="G179" s="7" t="s">
        <v>78</v>
      </c>
      <c r="I179" s="8" t="s">
        <v>79</v>
      </c>
      <c r="J179" s="8" t="s">
        <v>80</v>
      </c>
      <c r="K179" s="8" t="s">
        <v>81</v>
      </c>
      <c r="L179" s="10" t="s">
        <v>82</v>
      </c>
      <c r="T179" s="7" t="str">
        <f aca="false">_xlfn.TEXTJOIN( , ,B179,C179)</f>
        <v>electrical_room_section2Spot Cam - PTZ - 49 spot-cam-ptz.jpg</v>
      </c>
    </row>
    <row r="180" s="7" customFormat="true" ht="15.75" hidden="true" customHeight="true" outlineLevel="0" collapsed="false">
      <c r="A180" s="7" t="s">
        <v>20</v>
      </c>
      <c r="B180" s="7" t="s">
        <v>74</v>
      </c>
      <c r="C180" s="7" t="s">
        <v>68</v>
      </c>
      <c r="D180" s="10" t="s">
        <v>126</v>
      </c>
      <c r="E180" s="10" t="s">
        <v>76</v>
      </c>
      <c r="F180" s="7" t="s">
        <v>94</v>
      </c>
      <c r="G180" s="7" t="s">
        <v>78</v>
      </c>
      <c r="O180" s="8" t="s">
        <v>79</v>
      </c>
      <c r="P180" s="8" t="s">
        <v>80</v>
      </c>
      <c r="Q180" s="8" t="s">
        <v>81</v>
      </c>
      <c r="R180" s="10" t="s">
        <v>82</v>
      </c>
      <c r="T180" s="7" t="str">
        <f aca="false">_xlfn.TEXTJOIN( , ,B180,C180)</f>
        <v>electrical_room_section2Spot Cam - PTZ - 5 spot-cam-ptz.jpg</v>
      </c>
    </row>
    <row r="181" s="7" customFormat="true" ht="15.75" hidden="true" customHeight="true" outlineLevel="0" collapsed="false">
      <c r="A181" s="7" t="s">
        <v>20</v>
      </c>
      <c r="B181" s="7" t="s">
        <v>74</v>
      </c>
      <c r="C181" s="7" t="s">
        <v>68</v>
      </c>
      <c r="D181" s="10" t="s">
        <v>126</v>
      </c>
      <c r="E181" s="10" t="s">
        <v>87</v>
      </c>
      <c r="F181" s="7" t="s">
        <v>95</v>
      </c>
      <c r="G181" s="7" t="s">
        <v>78</v>
      </c>
      <c r="O181" s="8" t="s">
        <v>79</v>
      </c>
      <c r="P181" s="8" t="s">
        <v>80</v>
      </c>
      <c r="Q181" s="8" t="s">
        <v>81</v>
      </c>
      <c r="R181" s="10" t="s">
        <v>82</v>
      </c>
      <c r="T181" s="7" t="str">
        <f aca="false">_xlfn.TEXTJOIN( , ,B181,C181)</f>
        <v>electrical_room_section2Spot Cam - PTZ - 5 spot-cam-ptz.jpg</v>
      </c>
    </row>
    <row r="182" s="7" customFormat="true" ht="15.75" hidden="true" customHeight="true" outlineLevel="0" collapsed="false">
      <c r="A182" s="7" t="s">
        <v>20</v>
      </c>
      <c r="B182" s="7" t="s">
        <v>74</v>
      </c>
      <c r="C182" s="7" t="s">
        <v>68</v>
      </c>
      <c r="D182" s="10" t="s">
        <v>126</v>
      </c>
      <c r="E182" s="10" t="s">
        <v>96</v>
      </c>
      <c r="F182" s="7" t="s">
        <v>90</v>
      </c>
      <c r="G182" s="7" t="s">
        <v>102</v>
      </c>
      <c r="O182" s="8" t="s">
        <v>79</v>
      </c>
      <c r="P182" s="8" t="s">
        <v>80</v>
      </c>
      <c r="Q182" s="8" t="s">
        <v>81</v>
      </c>
      <c r="R182" s="10" t="s">
        <v>82</v>
      </c>
      <c r="T182" s="7" t="str">
        <f aca="false">_xlfn.TEXTJOIN( , ,B182,C182)</f>
        <v>electrical_room_section2Spot Cam - PTZ - 5 spot-cam-ptz.jpg</v>
      </c>
    </row>
    <row r="183" s="7" customFormat="true" ht="15.75" hidden="true" customHeight="true" outlineLevel="0" collapsed="false">
      <c r="A183" s="7" t="s">
        <v>20</v>
      </c>
      <c r="B183" s="7" t="s">
        <v>74</v>
      </c>
      <c r="C183" s="7" t="s">
        <v>68</v>
      </c>
      <c r="D183" s="10" t="s">
        <v>126</v>
      </c>
      <c r="E183" s="10" t="s">
        <v>103</v>
      </c>
      <c r="F183" s="7" t="s">
        <v>104</v>
      </c>
      <c r="G183" s="7" t="s">
        <v>102</v>
      </c>
      <c r="O183" s="8" t="s">
        <v>79</v>
      </c>
      <c r="P183" s="8" t="s">
        <v>80</v>
      </c>
      <c r="Q183" s="8" t="s">
        <v>81</v>
      </c>
      <c r="R183" s="10" t="s">
        <v>82</v>
      </c>
      <c r="T183" s="7" t="str">
        <f aca="false">_xlfn.TEXTJOIN( , ,B183,C183)</f>
        <v>electrical_room_section2Spot Cam - PTZ - 5 spot-cam-ptz.jpg</v>
      </c>
    </row>
    <row r="184" s="7" customFormat="true" ht="15.75" hidden="true" customHeight="true" outlineLevel="0" collapsed="false">
      <c r="A184" s="7" t="s">
        <v>20</v>
      </c>
      <c r="B184" s="7" t="s">
        <v>74</v>
      </c>
      <c r="C184" s="7" t="s">
        <v>194</v>
      </c>
      <c r="D184" s="10" t="s">
        <v>179</v>
      </c>
      <c r="E184" s="10" t="s">
        <v>92</v>
      </c>
      <c r="F184" s="7" t="s">
        <v>93</v>
      </c>
      <c r="G184" s="7" t="s">
        <v>78</v>
      </c>
      <c r="O184" s="8" t="s">
        <v>79</v>
      </c>
      <c r="P184" s="8" t="s">
        <v>80</v>
      </c>
      <c r="Q184" s="8" t="s">
        <v>81</v>
      </c>
      <c r="R184" s="10" t="s">
        <v>82</v>
      </c>
      <c r="T184" s="7" t="str">
        <f aca="false">_xlfn.TEXTJOIN( , ,B184,C184)</f>
        <v>electrical_room_section2Spot Cam - PTZ - 50 spot-cam-ptz.jpg</v>
      </c>
    </row>
    <row r="185" s="7" customFormat="true" ht="15.75" hidden="true" customHeight="true" outlineLevel="0" collapsed="false">
      <c r="A185" s="7" t="s">
        <v>20</v>
      </c>
      <c r="B185" s="7" t="s">
        <v>74</v>
      </c>
      <c r="C185" s="7" t="s">
        <v>195</v>
      </c>
      <c r="D185" s="10" t="s">
        <v>179</v>
      </c>
      <c r="E185" s="7" t="s">
        <v>196</v>
      </c>
      <c r="F185" s="10" t="s">
        <v>197</v>
      </c>
      <c r="G185" s="7" t="s">
        <v>78</v>
      </c>
      <c r="O185" s="8" t="s">
        <v>79</v>
      </c>
      <c r="P185" s="8" t="s">
        <v>80</v>
      </c>
      <c r="Q185" s="8" t="s">
        <v>81</v>
      </c>
      <c r="R185" s="10" t="s">
        <v>82</v>
      </c>
      <c r="T185" s="7" t="str">
        <f aca="false">_xlfn.TEXTJOIN( , ,B185,C185)</f>
        <v>electrical_room_section2Spot Cam - PTZ - 51 spot-cam-ptz.jpg</v>
      </c>
    </row>
    <row r="186" s="7" customFormat="true" ht="15.75" hidden="true" customHeight="true" outlineLevel="0" collapsed="false">
      <c r="A186" s="7" t="s">
        <v>20</v>
      </c>
      <c r="B186" s="7" t="s">
        <v>74</v>
      </c>
      <c r="C186" s="7" t="s">
        <v>195</v>
      </c>
      <c r="D186" s="10" t="s">
        <v>179</v>
      </c>
      <c r="E186" s="7" t="s">
        <v>198</v>
      </c>
      <c r="F186" s="10" t="s">
        <v>197</v>
      </c>
      <c r="G186" s="7" t="s">
        <v>78</v>
      </c>
      <c r="O186" s="8" t="s">
        <v>79</v>
      </c>
      <c r="P186" s="8" t="s">
        <v>80</v>
      </c>
      <c r="Q186" s="8" t="s">
        <v>81</v>
      </c>
      <c r="R186" s="10" t="s">
        <v>82</v>
      </c>
      <c r="T186" s="7" t="str">
        <f aca="false">_xlfn.TEXTJOIN( , ,B186,C186)</f>
        <v>electrical_room_section2Spot Cam - PTZ - 51 spot-cam-ptz.jpg</v>
      </c>
    </row>
    <row r="187" s="7" customFormat="true" ht="15.75" hidden="true" customHeight="true" outlineLevel="0" collapsed="false">
      <c r="A187" s="7" t="s">
        <v>20</v>
      </c>
      <c r="B187" s="7" t="s">
        <v>74</v>
      </c>
      <c r="C187" s="12" t="s">
        <v>199</v>
      </c>
      <c r="D187" s="10" t="s">
        <v>200</v>
      </c>
      <c r="E187" s="10" t="s">
        <v>201</v>
      </c>
      <c r="F187" s="7" t="s">
        <v>181</v>
      </c>
      <c r="G187" s="7" t="s">
        <v>78</v>
      </c>
      <c r="T187" s="7" t="str">
        <f aca="false">_xlfn.TEXTJOIN( , ,B187,C187)</f>
        <v>electrical_room_section2Spot Cam - PTZ - 52 spot-cam-ptz.jpg</v>
      </c>
    </row>
    <row r="188" s="7" customFormat="true" ht="15.75" hidden="true" customHeight="true" outlineLevel="0" collapsed="false">
      <c r="A188" s="7" t="s">
        <v>20</v>
      </c>
      <c r="B188" s="7" t="s">
        <v>74</v>
      </c>
      <c r="C188" s="12" t="s">
        <v>199</v>
      </c>
      <c r="D188" s="10" t="s">
        <v>200</v>
      </c>
      <c r="E188" s="10" t="s">
        <v>202</v>
      </c>
      <c r="F188" s="7" t="s">
        <v>181</v>
      </c>
      <c r="G188" s="7" t="s">
        <v>78</v>
      </c>
      <c r="I188" s="8" t="s">
        <v>79</v>
      </c>
      <c r="J188" s="8" t="s">
        <v>80</v>
      </c>
      <c r="K188" s="8" t="s">
        <v>81</v>
      </c>
      <c r="L188" s="10" t="s">
        <v>82</v>
      </c>
      <c r="T188" s="7" t="str">
        <f aca="false">_xlfn.TEXTJOIN( , ,B188,C188)</f>
        <v>electrical_room_section2Spot Cam - PTZ - 52 spot-cam-ptz.jpg</v>
      </c>
    </row>
    <row r="189" s="7" customFormat="true" ht="15.75" hidden="true" customHeight="true" outlineLevel="0" collapsed="false">
      <c r="A189" s="7" t="s">
        <v>20</v>
      </c>
      <c r="B189" s="7" t="s">
        <v>74</v>
      </c>
      <c r="C189" s="12" t="s">
        <v>199</v>
      </c>
      <c r="D189" s="10" t="s">
        <v>200</v>
      </c>
      <c r="E189" s="10" t="s">
        <v>203</v>
      </c>
      <c r="F189" s="7" t="s">
        <v>181</v>
      </c>
      <c r="G189" s="7" t="s">
        <v>78</v>
      </c>
      <c r="T189" s="7" t="str">
        <f aca="false">_xlfn.TEXTJOIN( , ,B189,C189)</f>
        <v>electrical_room_section2Spot Cam - PTZ - 52 spot-cam-ptz.jpg</v>
      </c>
    </row>
    <row r="190" s="7" customFormat="true" ht="15.75" hidden="true" customHeight="true" outlineLevel="0" collapsed="false">
      <c r="A190" s="7" t="s">
        <v>20</v>
      </c>
      <c r="B190" s="7" t="s">
        <v>74</v>
      </c>
      <c r="C190" s="12" t="s">
        <v>199</v>
      </c>
      <c r="D190" s="10" t="s">
        <v>200</v>
      </c>
      <c r="E190" s="10" t="s">
        <v>204</v>
      </c>
      <c r="F190" s="7" t="s">
        <v>181</v>
      </c>
      <c r="G190" s="7" t="s">
        <v>78</v>
      </c>
      <c r="T190" s="7" t="str">
        <f aca="false">_xlfn.TEXTJOIN( , ,B190,C190)</f>
        <v>electrical_room_section2Spot Cam - PTZ - 52 spot-cam-ptz.jpg</v>
      </c>
    </row>
    <row r="191" s="7" customFormat="true" ht="15.75" hidden="true" customHeight="true" outlineLevel="0" collapsed="false">
      <c r="A191" s="7" t="s">
        <v>20</v>
      </c>
      <c r="B191" s="7" t="s">
        <v>74</v>
      </c>
      <c r="C191" s="12" t="s">
        <v>199</v>
      </c>
      <c r="D191" s="10" t="s">
        <v>200</v>
      </c>
      <c r="E191" s="10" t="s">
        <v>205</v>
      </c>
      <c r="F191" s="7" t="s">
        <v>182</v>
      </c>
      <c r="G191" s="7" t="s">
        <v>78</v>
      </c>
      <c r="T191" s="7" t="str">
        <f aca="false">_xlfn.TEXTJOIN( , ,B191,C191)</f>
        <v>electrical_room_section2Spot Cam - PTZ - 52 spot-cam-ptz.jpg</v>
      </c>
    </row>
    <row r="192" s="7" customFormat="true" ht="15.75" hidden="true" customHeight="true" outlineLevel="0" collapsed="false">
      <c r="A192" s="7" t="s">
        <v>20</v>
      </c>
      <c r="B192" s="7" t="s">
        <v>74</v>
      </c>
      <c r="C192" s="12" t="s">
        <v>199</v>
      </c>
      <c r="D192" s="10" t="s">
        <v>200</v>
      </c>
      <c r="E192" s="10" t="s">
        <v>206</v>
      </c>
      <c r="F192" s="7" t="s">
        <v>182</v>
      </c>
      <c r="G192" s="7" t="s">
        <v>78</v>
      </c>
      <c r="T192" s="7" t="str">
        <f aca="false">_xlfn.TEXTJOIN( , ,B192,C192)</f>
        <v>electrical_room_section2Spot Cam - PTZ - 52 spot-cam-ptz.jpg</v>
      </c>
    </row>
    <row r="193" s="7" customFormat="true" ht="15.75" hidden="true" customHeight="true" outlineLevel="0" collapsed="false">
      <c r="A193" s="7" t="s">
        <v>20</v>
      </c>
      <c r="B193" s="7" t="s">
        <v>74</v>
      </c>
      <c r="C193" s="12" t="s">
        <v>199</v>
      </c>
      <c r="D193" s="10" t="s">
        <v>200</v>
      </c>
      <c r="E193" s="10" t="s">
        <v>207</v>
      </c>
      <c r="F193" s="7" t="s">
        <v>182</v>
      </c>
      <c r="G193" s="7" t="s">
        <v>78</v>
      </c>
      <c r="T193" s="7" t="str">
        <f aca="false">_xlfn.TEXTJOIN( , ,B193,C193)</f>
        <v>electrical_room_section2Spot Cam - PTZ - 52 spot-cam-ptz.jpg</v>
      </c>
    </row>
    <row r="194" s="7" customFormat="true" ht="15.75" hidden="true" customHeight="true" outlineLevel="0" collapsed="false">
      <c r="A194" s="7" t="s">
        <v>20</v>
      </c>
      <c r="B194" s="7" t="s">
        <v>74</v>
      </c>
      <c r="C194" s="12" t="s">
        <v>199</v>
      </c>
      <c r="D194" s="10" t="s">
        <v>200</v>
      </c>
      <c r="E194" s="10" t="s">
        <v>208</v>
      </c>
      <c r="F194" s="7" t="s">
        <v>182</v>
      </c>
      <c r="G194" s="7" t="s">
        <v>78</v>
      </c>
      <c r="T194" s="7" t="str">
        <f aca="false">_xlfn.TEXTJOIN( , ,B194,C194)</f>
        <v>electrical_room_section2Spot Cam - PTZ - 52 spot-cam-ptz.jpg</v>
      </c>
    </row>
    <row r="195" s="7" customFormat="true" ht="15.75" hidden="true" customHeight="true" outlineLevel="0" collapsed="false">
      <c r="A195" s="7" t="s">
        <v>20</v>
      </c>
      <c r="B195" s="7" t="s">
        <v>74</v>
      </c>
      <c r="C195" s="12" t="s">
        <v>199</v>
      </c>
      <c r="D195" s="10" t="s">
        <v>200</v>
      </c>
      <c r="E195" s="10" t="s">
        <v>209</v>
      </c>
      <c r="F195" s="7" t="s">
        <v>182</v>
      </c>
      <c r="G195" s="7" t="s">
        <v>78</v>
      </c>
      <c r="T195" s="7" t="str">
        <f aca="false">_xlfn.TEXTJOIN( , ,B195,C195)</f>
        <v>electrical_room_section2Spot Cam - PTZ - 52 spot-cam-ptz.jpg</v>
      </c>
    </row>
    <row r="196" s="7" customFormat="true" ht="15.75" hidden="true" customHeight="true" outlineLevel="0" collapsed="false">
      <c r="A196" s="7" t="s">
        <v>20</v>
      </c>
      <c r="B196" s="7" t="s">
        <v>74</v>
      </c>
      <c r="C196" s="12" t="s">
        <v>199</v>
      </c>
      <c r="D196" s="10" t="s">
        <v>200</v>
      </c>
      <c r="E196" s="10" t="s">
        <v>210</v>
      </c>
      <c r="F196" s="7" t="s">
        <v>182</v>
      </c>
      <c r="G196" s="7" t="s">
        <v>78</v>
      </c>
      <c r="T196" s="7" t="str">
        <f aca="false">_xlfn.TEXTJOIN( , ,B196,C196)</f>
        <v>electrical_room_section2Spot Cam - PTZ - 52 spot-cam-ptz.jpg</v>
      </c>
    </row>
    <row r="197" s="7" customFormat="true" ht="15.75" hidden="true" customHeight="true" outlineLevel="0" collapsed="false">
      <c r="A197" s="7" t="s">
        <v>20</v>
      </c>
      <c r="B197" s="7" t="s">
        <v>74</v>
      </c>
      <c r="C197" s="12" t="s">
        <v>199</v>
      </c>
      <c r="D197" s="10" t="s">
        <v>200</v>
      </c>
      <c r="E197" s="10" t="s">
        <v>211</v>
      </c>
      <c r="F197" s="7" t="s">
        <v>182</v>
      </c>
      <c r="G197" s="7" t="s">
        <v>78</v>
      </c>
      <c r="T197" s="7" t="str">
        <f aca="false">_xlfn.TEXTJOIN( , ,B197,C197)</f>
        <v>electrical_room_section2Spot Cam - PTZ - 52 spot-cam-ptz.jpg</v>
      </c>
    </row>
    <row r="198" s="7" customFormat="true" ht="15.75" hidden="true" customHeight="true" outlineLevel="0" collapsed="false">
      <c r="A198" s="7" t="s">
        <v>20</v>
      </c>
      <c r="B198" s="7" t="s">
        <v>74</v>
      </c>
      <c r="C198" s="12" t="s">
        <v>199</v>
      </c>
      <c r="D198" s="10" t="s">
        <v>200</v>
      </c>
      <c r="E198" s="10" t="s">
        <v>86</v>
      </c>
      <c r="F198" s="7" t="s">
        <v>84</v>
      </c>
      <c r="G198" s="7" t="s">
        <v>78</v>
      </c>
      <c r="T198" s="7" t="str">
        <f aca="false">_xlfn.TEXTJOIN( , ,B198,C198)</f>
        <v>electrical_room_section2Spot Cam - PTZ - 52 spot-cam-ptz.jpg</v>
      </c>
    </row>
    <row r="199" s="7" customFormat="true" ht="15.75" hidden="true" customHeight="true" outlineLevel="0" collapsed="false">
      <c r="A199" s="7" t="s">
        <v>20</v>
      </c>
      <c r="B199" s="7" t="s">
        <v>74</v>
      </c>
      <c r="C199" s="12" t="s">
        <v>199</v>
      </c>
      <c r="D199" s="10" t="s">
        <v>200</v>
      </c>
      <c r="E199" s="10" t="s">
        <v>86</v>
      </c>
      <c r="F199" s="7" t="s">
        <v>84</v>
      </c>
      <c r="G199" s="7" t="s">
        <v>78</v>
      </c>
      <c r="T199" s="7" t="str">
        <f aca="false">_xlfn.TEXTJOIN( , ,B199,C199)</f>
        <v>electrical_room_section2Spot Cam - PTZ - 52 spot-cam-ptz.jpg</v>
      </c>
    </row>
    <row r="200" s="7" customFormat="true" ht="15.75" hidden="true" customHeight="true" outlineLevel="0" collapsed="false">
      <c r="A200" s="7" t="s">
        <v>20</v>
      </c>
      <c r="B200" s="7" t="s">
        <v>74</v>
      </c>
      <c r="C200" s="12" t="s">
        <v>199</v>
      </c>
      <c r="D200" s="10" t="s">
        <v>200</v>
      </c>
      <c r="E200" s="10" t="s">
        <v>86</v>
      </c>
      <c r="F200" s="7" t="s">
        <v>84</v>
      </c>
      <c r="G200" s="7" t="s">
        <v>78</v>
      </c>
      <c r="T200" s="7" t="str">
        <f aca="false">_xlfn.TEXTJOIN( , ,B200,C200)</f>
        <v>electrical_room_section2Spot Cam - PTZ - 52 spot-cam-ptz.jpg</v>
      </c>
    </row>
    <row r="201" s="7" customFormat="true" ht="15.75" hidden="true" customHeight="true" outlineLevel="0" collapsed="false">
      <c r="A201" s="7" t="s">
        <v>20</v>
      </c>
      <c r="B201" s="7" t="s">
        <v>74</v>
      </c>
      <c r="C201" s="12" t="s">
        <v>199</v>
      </c>
      <c r="D201" s="10" t="s">
        <v>200</v>
      </c>
      <c r="E201" s="10" t="s">
        <v>86</v>
      </c>
      <c r="F201" s="7" t="s">
        <v>84</v>
      </c>
      <c r="G201" s="7" t="s">
        <v>78</v>
      </c>
      <c r="I201" s="8" t="s">
        <v>79</v>
      </c>
      <c r="J201" s="8" t="s">
        <v>80</v>
      </c>
      <c r="K201" s="8" t="s">
        <v>81</v>
      </c>
      <c r="L201" s="10" t="s">
        <v>82</v>
      </c>
      <c r="T201" s="7" t="str">
        <f aca="false">_xlfn.TEXTJOIN( , ,B201,C201)</f>
        <v>electrical_room_section2Spot Cam - PTZ - 52 spot-cam-ptz.jpg</v>
      </c>
    </row>
    <row r="202" s="7" customFormat="true" ht="15.75" hidden="true" customHeight="true" outlineLevel="0" collapsed="false">
      <c r="A202" s="7" t="s">
        <v>20</v>
      </c>
      <c r="B202" s="7" t="s">
        <v>74</v>
      </c>
      <c r="C202" s="7" t="s">
        <v>212</v>
      </c>
      <c r="D202" s="10" t="s">
        <v>200</v>
      </c>
      <c r="E202" s="10" t="s">
        <v>92</v>
      </c>
      <c r="F202" s="7" t="s">
        <v>93</v>
      </c>
      <c r="G202" s="7" t="s">
        <v>78</v>
      </c>
      <c r="O202" s="8" t="s">
        <v>79</v>
      </c>
      <c r="P202" s="8" t="s">
        <v>80</v>
      </c>
      <c r="Q202" s="8" t="s">
        <v>81</v>
      </c>
      <c r="R202" s="10" t="s">
        <v>82</v>
      </c>
      <c r="T202" s="7" t="str">
        <f aca="false">_xlfn.TEXTJOIN( , ,B202,C202)</f>
        <v>electrical_room_section2Spot Cam - PTZ - 53 spot-cam-ptz.jpg</v>
      </c>
    </row>
    <row r="203" s="7" customFormat="true" ht="15.75" hidden="true" customHeight="true" outlineLevel="0" collapsed="false">
      <c r="A203" s="7" t="s">
        <v>20</v>
      </c>
      <c r="B203" s="7" t="s">
        <v>74</v>
      </c>
      <c r="C203" s="7" t="s">
        <v>213</v>
      </c>
      <c r="D203" s="10" t="s">
        <v>200</v>
      </c>
      <c r="E203" s="7" t="s">
        <v>196</v>
      </c>
      <c r="F203" s="10" t="s">
        <v>197</v>
      </c>
      <c r="G203" s="7" t="s">
        <v>78</v>
      </c>
      <c r="O203" s="8" t="s">
        <v>79</v>
      </c>
      <c r="P203" s="8" t="s">
        <v>80</v>
      </c>
      <c r="Q203" s="8" t="s">
        <v>81</v>
      </c>
      <c r="R203" s="10" t="s">
        <v>82</v>
      </c>
      <c r="T203" s="7" t="str">
        <f aca="false">_xlfn.TEXTJOIN( , ,B203,C203)</f>
        <v>electrical_room_section2Spot Cam - PTZ - 54 spot-cam-ptz.jpg</v>
      </c>
    </row>
    <row r="204" s="7" customFormat="true" ht="15.75" hidden="true" customHeight="true" outlineLevel="0" collapsed="false">
      <c r="A204" s="7" t="s">
        <v>20</v>
      </c>
      <c r="B204" s="7" t="s">
        <v>74</v>
      </c>
      <c r="C204" s="7" t="s">
        <v>213</v>
      </c>
      <c r="D204" s="10" t="s">
        <v>200</v>
      </c>
      <c r="E204" s="7" t="s">
        <v>198</v>
      </c>
      <c r="F204" s="10" t="s">
        <v>197</v>
      </c>
      <c r="G204" s="7" t="s">
        <v>78</v>
      </c>
      <c r="O204" s="8" t="s">
        <v>79</v>
      </c>
      <c r="P204" s="8" t="s">
        <v>80</v>
      </c>
      <c r="Q204" s="8" t="s">
        <v>81</v>
      </c>
      <c r="R204" s="10" t="s">
        <v>82</v>
      </c>
      <c r="T204" s="7" t="str">
        <f aca="false">_xlfn.TEXTJOIN( , ,B204,C204)</f>
        <v>electrical_room_section2Spot Cam - PTZ - 54 spot-cam-ptz.jpg</v>
      </c>
    </row>
    <row r="205" s="7" customFormat="true" ht="15.75" hidden="true" customHeight="true" outlineLevel="0" collapsed="false">
      <c r="A205" s="7" t="s">
        <v>20</v>
      </c>
      <c r="B205" s="7" t="s">
        <v>74</v>
      </c>
      <c r="C205" s="7" t="s">
        <v>214</v>
      </c>
      <c r="D205" s="10" t="s">
        <v>215</v>
      </c>
      <c r="E205" s="10" t="s">
        <v>92</v>
      </c>
      <c r="F205" s="7" t="s">
        <v>93</v>
      </c>
      <c r="G205" s="7" t="s">
        <v>78</v>
      </c>
      <c r="O205" s="8" t="s">
        <v>216</v>
      </c>
      <c r="P205" s="8" t="s">
        <v>217</v>
      </c>
      <c r="T205" s="7" t="str">
        <f aca="false">_xlfn.TEXTJOIN( , ,B205,C205)</f>
        <v>electrical_room_section2Spot Cam - PTZ - 55 spot-cam-ptz.jpg</v>
      </c>
    </row>
    <row r="206" s="7" customFormat="true" ht="15.75" hidden="false" customHeight="true" outlineLevel="0" collapsed="false">
      <c r="A206" s="7" t="s">
        <v>20</v>
      </c>
      <c r="B206" s="7" t="s">
        <v>74</v>
      </c>
      <c r="C206" s="7" t="s">
        <v>218</v>
      </c>
      <c r="D206" s="10" t="s">
        <v>215</v>
      </c>
      <c r="E206" s="7" t="s">
        <v>219</v>
      </c>
      <c r="F206" s="7" t="s">
        <v>220</v>
      </c>
      <c r="G206" s="7" t="s">
        <v>44</v>
      </c>
      <c r="O206" s="8" t="s">
        <v>216</v>
      </c>
      <c r="P206" s="8" t="s">
        <v>221</v>
      </c>
      <c r="S206" s="11" t="s">
        <v>222</v>
      </c>
      <c r="T206" s="7" t="str">
        <f aca="false">_xlfn.TEXTJOIN( , ,B206,C206)</f>
        <v>electrical_room_section2Spot Cam - PTZ - 56 spot-cam-ptz.jpg</v>
      </c>
    </row>
    <row r="207" s="7" customFormat="true" ht="15.75" hidden="true" customHeight="true" outlineLevel="0" collapsed="false">
      <c r="A207" s="7" t="s">
        <v>20</v>
      </c>
      <c r="B207" s="7" t="s">
        <v>74</v>
      </c>
      <c r="C207" s="7" t="s">
        <v>223</v>
      </c>
      <c r="D207" s="10" t="s">
        <v>215</v>
      </c>
      <c r="E207" s="10" t="s">
        <v>224</v>
      </c>
      <c r="F207" s="7" t="s">
        <v>94</v>
      </c>
      <c r="G207" s="7" t="s">
        <v>78</v>
      </c>
      <c r="O207" s="8" t="s">
        <v>216</v>
      </c>
      <c r="P207" s="8" t="s">
        <v>225</v>
      </c>
      <c r="T207" s="7" t="str">
        <f aca="false">_xlfn.TEXTJOIN( , ,B207,C207)</f>
        <v>electrical_room_section2Spot Cam - PTZ - 57 spot-cam-ptz.jpg</v>
      </c>
    </row>
    <row r="208" s="7" customFormat="true" ht="15.75" hidden="true" customHeight="true" outlineLevel="0" collapsed="false">
      <c r="A208" s="7" t="s">
        <v>20</v>
      </c>
      <c r="B208" s="7" t="s">
        <v>74</v>
      </c>
      <c r="C208" s="7" t="s">
        <v>223</v>
      </c>
      <c r="D208" s="10" t="s">
        <v>215</v>
      </c>
      <c r="E208" s="10" t="s">
        <v>226</v>
      </c>
      <c r="F208" s="7" t="s">
        <v>95</v>
      </c>
      <c r="G208" s="7" t="s">
        <v>78</v>
      </c>
      <c r="O208" s="8" t="s">
        <v>216</v>
      </c>
      <c r="P208" s="8" t="s">
        <v>225</v>
      </c>
      <c r="T208" s="7" t="str">
        <f aca="false">_xlfn.TEXTJOIN( , ,B208,C208)</f>
        <v>electrical_room_section2Spot Cam - PTZ - 57 spot-cam-ptz.jpg</v>
      </c>
    </row>
    <row r="209" s="7" customFormat="true" ht="15.75" hidden="true" customHeight="true" outlineLevel="0" collapsed="false">
      <c r="A209" s="7" t="s">
        <v>20</v>
      </c>
      <c r="B209" s="7" t="s">
        <v>74</v>
      </c>
      <c r="C209" s="7" t="s">
        <v>223</v>
      </c>
      <c r="D209" s="10" t="s">
        <v>215</v>
      </c>
      <c r="E209" s="7" t="s">
        <v>227</v>
      </c>
      <c r="F209" s="7" t="s">
        <v>137</v>
      </c>
      <c r="G209" s="7" t="s">
        <v>102</v>
      </c>
      <c r="O209" s="8" t="s">
        <v>216</v>
      </c>
      <c r="P209" s="8" t="s">
        <v>225</v>
      </c>
      <c r="T209" s="7" t="str">
        <f aca="false">_xlfn.TEXTJOIN( , ,B209,C209)</f>
        <v>electrical_room_section2Spot Cam - PTZ - 57 spot-cam-ptz.jpg</v>
      </c>
    </row>
    <row r="210" s="7" customFormat="true" ht="15.75" hidden="true" customHeight="true" outlineLevel="0" collapsed="false">
      <c r="A210" s="7" t="s">
        <v>20</v>
      </c>
      <c r="B210" s="7" t="s">
        <v>74</v>
      </c>
      <c r="C210" s="7" t="s">
        <v>228</v>
      </c>
      <c r="D210" s="7" t="s">
        <v>23</v>
      </c>
      <c r="F210" s="7" t="s">
        <v>24</v>
      </c>
      <c r="G210" s="7" t="s">
        <v>25</v>
      </c>
      <c r="I210" s="8" t="s">
        <v>26</v>
      </c>
      <c r="J210" s="8" t="s">
        <v>53</v>
      </c>
      <c r="T210" s="7" t="str">
        <f aca="false">_xlfn.TEXTJOIN( , ,B210,C210)</f>
        <v>electrical_room_section2Spot Cam - PTZ - 58 spot-cam-ptz.jpg</v>
      </c>
    </row>
    <row r="211" s="7" customFormat="true" ht="15.75" hidden="true" customHeight="true" outlineLevel="0" collapsed="false">
      <c r="A211" s="7" t="s">
        <v>20</v>
      </c>
      <c r="B211" s="7" t="s">
        <v>74</v>
      </c>
      <c r="C211" s="7" t="s">
        <v>228</v>
      </c>
      <c r="D211" s="7" t="s">
        <v>23</v>
      </c>
      <c r="F211" s="7" t="s">
        <v>24</v>
      </c>
      <c r="G211" s="7" t="s">
        <v>25</v>
      </c>
      <c r="O211" s="8" t="s">
        <v>26</v>
      </c>
      <c r="P211" s="8" t="s">
        <v>53</v>
      </c>
      <c r="T211" s="7" t="str">
        <f aca="false">_xlfn.TEXTJOIN( , ,B211,C211)</f>
        <v>electrical_room_section2Spot Cam - PTZ - 58 spot-cam-ptz.jpg</v>
      </c>
    </row>
    <row r="212" s="7" customFormat="true" ht="15.75" hidden="true" customHeight="true" outlineLevel="0" collapsed="false">
      <c r="A212" s="7" t="s">
        <v>20</v>
      </c>
      <c r="B212" s="7" t="s">
        <v>74</v>
      </c>
      <c r="C212" s="7" t="s">
        <v>228</v>
      </c>
      <c r="D212" s="7" t="s">
        <v>23</v>
      </c>
      <c r="E212" s="7" t="s">
        <v>30</v>
      </c>
      <c r="F212" s="7" t="s">
        <v>31</v>
      </c>
      <c r="G212" s="7" t="s">
        <v>25</v>
      </c>
      <c r="O212" s="8" t="s">
        <v>26</v>
      </c>
      <c r="P212" s="8" t="s">
        <v>53</v>
      </c>
      <c r="T212" s="7" t="str">
        <f aca="false">_xlfn.TEXTJOIN( , ,B212,C212)</f>
        <v>electrical_room_section2Spot Cam - PTZ - 58 spot-cam-ptz.jpg</v>
      </c>
    </row>
    <row r="213" s="7" customFormat="true" ht="15.75" hidden="true" customHeight="true" outlineLevel="0" collapsed="false">
      <c r="A213" s="7" t="s">
        <v>20</v>
      </c>
      <c r="B213" s="7" t="s">
        <v>74</v>
      </c>
      <c r="C213" s="7" t="s">
        <v>229</v>
      </c>
      <c r="D213" s="7" t="s">
        <v>23</v>
      </c>
      <c r="E213" s="7" t="s">
        <v>34</v>
      </c>
      <c r="F213" s="7" t="s">
        <v>35</v>
      </c>
      <c r="G213" s="7" t="s">
        <v>36</v>
      </c>
      <c r="J213" s="7" t="n">
        <v>0</v>
      </c>
      <c r="K213" s="7" t="n">
        <v>10</v>
      </c>
      <c r="L213" s="7" t="n">
        <v>4</v>
      </c>
      <c r="M213" s="7" t="n">
        <v>9</v>
      </c>
      <c r="N213" s="10" t="s">
        <v>37</v>
      </c>
      <c r="O213" s="8" t="s">
        <v>26</v>
      </c>
      <c r="P213" s="8" t="s">
        <v>32</v>
      </c>
      <c r="R213" s="10" t="s">
        <v>38</v>
      </c>
      <c r="T213" s="7" t="str">
        <f aca="false">_xlfn.TEXTJOIN( , ,B213,C213)</f>
        <v>electrical_room_section2Spot Cam - PTZ - 59 spot-cam-ptz.jpg</v>
      </c>
    </row>
    <row r="214" s="7" customFormat="true" ht="15.75" hidden="true" customHeight="true" outlineLevel="0" collapsed="false">
      <c r="A214" s="7" t="s">
        <v>20</v>
      </c>
      <c r="B214" s="7" t="s">
        <v>74</v>
      </c>
      <c r="C214" s="7" t="s">
        <v>229</v>
      </c>
      <c r="D214" s="7" t="s">
        <v>23</v>
      </c>
      <c r="E214" s="7" t="s">
        <v>39</v>
      </c>
      <c r="F214" s="7" t="s">
        <v>35</v>
      </c>
      <c r="G214" s="7" t="s">
        <v>36</v>
      </c>
      <c r="J214" s="7" t="n">
        <v>0</v>
      </c>
      <c r="K214" s="7" t="n">
        <v>10</v>
      </c>
      <c r="L214" s="7" t="n">
        <v>4</v>
      </c>
      <c r="M214" s="7" t="n">
        <v>9</v>
      </c>
      <c r="N214" s="10" t="s">
        <v>37</v>
      </c>
      <c r="O214" s="8" t="s">
        <v>26</v>
      </c>
      <c r="P214" s="8" t="s">
        <v>32</v>
      </c>
      <c r="R214" s="10" t="s">
        <v>38</v>
      </c>
      <c r="T214" s="7" t="str">
        <f aca="false">_xlfn.TEXTJOIN( , ,B214,C214)</f>
        <v>electrical_room_section2Spot Cam - PTZ - 59 spot-cam-ptz.jpg</v>
      </c>
    </row>
    <row r="215" s="7" customFormat="true" ht="15.75" hidden="true" customHeight="true" outlineLevel="0" collapsed="false">
      <c r="A215" s="7" t="s">
        <v>20</v>
      </c>
      <c r="B215" s="7" t="s">
        <v>74</v>
      </c>
      <c r="C215" s="7" t="s">
        <v>69</v>
      </c>
      <c r="D215" s="10" t="s">
        <v>126</v>
      </c>
      <c r="E215" s="7" t="s">
        <v>105</v>
      </c>
      <c r="F215" s="7" t="s">
        <v>106</v>
      </c>
      <c r="G215" s="7" t="s">
        <v>78</v>
      </c>
      <c r="O215" s="8" t="s">
        <v>79</v>
      </c>
      <c r="P215" s="8" t="s">
        <v>80</v>
      </c>
      <c r="Q215" s="8" t="s">
        <v>81</v>
      </c>
      <c r="R215" s="10" t="s">
        <v>82</v>
      </c>
      <c r="T215" s="7" t="str">
        <f aca="false">_xlfn.TEXTJOIN( , ,B215,C215)</f>
        <v>electrical_room_section2Spot Cam - PTZ - 6 spot-cam-ptz.jpg</v>
      </c>
    </row>
    <row r="216" s="7" customFormat="true" ht="15.75" hidden="false" customHeight="true" outlineLevel="0" collapsed="false">
      <c r="A216" s="7" t="s">
        <v>20</v>
      </c>
      <c r="B216" s="7" t="s">
        <v>74</v>
      </c>
      <c r="C216" s="7" t="s">
        <v>230</v>
      </c>
      <c r="D216" s="7" t="s">
        <v>41</v>
      </c>
      <c r="E216" s="7" t="s">
        <v>42</v>
      </c>
      <c r="F216" s="7" t="s">
        <v>43</v>
      </c>
      <c r="G216" s="7" t="s">
        <v>44</v>
      </c>
      <c r="O216" s="8" t="s">
        <v>45</v>
      </c>
      <c r="P216" s="8" t="s">
        <v>46</v>
      </c>
      <c r="Q216" s="8" t="s">
        <v>47</v>
      </c>
      <c r="S216" s="11" t="s">
        <v>48</v>
      </c>
      <c r="T216" s="7" t="str">
        <f aca="false">_xlfn.TEXTJOIN( , ,B216,C216)</f>
        <v>electrical_room_section2Spot Cam - PTZ - 60 spot-cam-ptz.jpg</v>
      </c>
    </row>
    <row r="217" s="7" customFormat="true" ht="15.75" hidden="false" customHeight="true" outlineLevel="0" collapsed="false">
      <c r="A217" s="7" t="s">
        <v>20</v>
      </c>
      <c r="B217" s="7" t="s">
        <v>74</v>
      </c>
      <c r="C217" s="7" t="s">
        <v>231</v>
      </c>
      <c r="D217" s="7" t="s">
        <v>41</v>
      </c>
      <c r="E217" s="7" t="s">
        <v>42</v>
      </c>
      <c r="F217" s="7" t="s">
        <v>43</v>
      </c>
      <c r="G217" s="7" t="s">
        <v>44</v>
      </c>
      <c r="O217" s="8" t="s">
        <v>45</v>
      </c>
      <c r="P217" s="8" t="s">
        <v>46</v>
      </c>
      <c r="Q217" s="8" t="s">
        <v>47</v>
      </c>
      <c r="S217" s="11" t="s">
        <v>48</v>
      </c>
      <c r="T217" s="7" t="str">
        <f aca="false">_xlfn.TEXTJOIN( , ,B217,C217)</f>
        <v>electrical_room_section2Spot Cam - PTZ - 61 spot-cam-ptz.jpg</v>
      </c>
    </row>
    <row r="218" s="7" customFormat="true" ht="15.75" hidden="false" customHeight="true" outlineLevel="0" collapsed="false">
      <c r="A218" s="7" t="s">
        <v>20</v>
      </c>
      <c r="B218" s="7" t="s">
        <v>74</v>
      </c>
      <c r="C218" s="7" t="s">
        <v>232</v>
      </c>
      <c r="D218" s="7" t="s">
        <v>41</v>
      </c>
      <c r="E218" s="7" t="s">
        <v>42</v>
      </c>
      <c r="F218" s="7" t="s">
        <v>43</v>
      </c>
      <c r="G218" s="7" t="s">
        <v>44</v>
      </c>
      <c r="O218" s="8" t="s">
        <v>45</v>
      </c>
      <c r="P218" s="8" t="s">
        <v>46</v>
      </c>
      <c r="Q218" s="8" t="s">
        <v>47</v>
      </c>
      <c r="S218" s="11" t="s">
        <v>48</v>
      </c>
      <c r="T218" s="7" t="str">
        <f aca="false">_xlfn.TEXTJOIN( , ,B218,C218)</f>
        <v>electrical_room_section2Spot Cam - PTZ - 62 spot-cam-ptz.jpg</v>
      </c>
    </row>
    <row r="219" s="7" customFormat="true" ht="15.75" hidden="true" customHeight="true" outlineLevel="0" collapsed="false">
      <c r="A219" s="7" t="s">
        <v>20</v>
      </c>
      <c r="B219" s="7" t="s">
        <v>74</v>
      </c>
      <c r="C219" s="7" t="s">
        <v>70</v>
      </c>
      <c r="D219" s="10" t="s">
        <v>233</v>
      </c>
      <c r="E219" s="10" t="s">
        <v>83</v>
      </c>
      <c r="F219" s="7" t="s">
        <v>84</v>
      </c>
      <c r="G219" s="7" t="s">
        <v>78</v>
      </c>
      <c r="O219" s="8" t="s">
        <v>79</v>
      </c>
      <c r="P219" s="8" t="s">
        <v>80</v>
      </c>
      <c r="Q219" s="8" t="s">
        <v>81</v>
      </c>
      <c r="R219" s="10" t="s">
        <v>82</v>
      </c>
      <c r="T219" s="7" t="str">
        <f aca="false">_xlfn.TEXTJOIN( , ,B219,C219)</f>
        <v>electrical_room_section2Spot Cam - PTZ - 7 spot-cam-ptz.jpg</v>
      </c>
    </row>
    <row r="220" s="7" customFormat="true" ht="15.75" hidden="true" customHeight="true" outlineLevel="0" collapsed="false">
      <c r="A220" s="7" t="s">
        <v>20</v>
      </c>
      <c r="B220" s="7" t="s">
        <v>74</v>
      </c>
      <c r="C220" s="7" t="s">
        <v>70</v>
      </c>
      <c r="D220" s="10" t="s">
        <v>233</v>
      </c>
      <c r="E220" s="10" t="s">
        <v>85</v>
      </c>
      <c r="F220" s="7" t="s">
        <v>84</v>
      </c>
      <c r="G220" s="7" t="s">
        <v>78</v>
      </c>
      <c r="O220" s="8" t="s">
        <v>79</v>
      </c>
      <c r="P220" s="8" t="s">
        <v>80</v>
      </c>
      <c r="Q220" s="8" t="s">
        <v>81</v>
      </c>
      <c r="R220" s="10" t="s">
        <v>82</v>
      </c>
      <c r="T220" s="7" t="str">
        <f aca="false">_xlfn.TEXTJOIN( , ,B220,C220)</f>
        <v>electrical_room_section2Spot Cam - PTZ - 7 spot-cam-ptz.jpg</v>
      </c>
    </row>
    <row r="221" s="7" customFormat="true" ht="15.75" hidden="true" customHeight="true" outlineLevel="0" collapsed="false">
      <c r="A221" s="7" t="s">
        <v>20</v>
      </c>
      <c r="B221" s="7" t="s">
        <v>74</v>
      </c>
      <c r="C221" s="7" t="s">
        <v>70</v>
      </c>
      <c r="D221" s="10" t="s">
        <v>233</v>
      </c>
      <c r="E221" s="10" t="s">
        <v>92</v>
      </c>
      <c r="F221" s="7" t="s">
        <v>93</v>
      </c>
      <c r="G221" s="7" t="s">
        <v>78</v>
      </c>
      <c r="O221" s="8" t="s">
        <v>79</v>
      </c>
      <c r="P221" s="8" t="s">
        <v>80</v>
      </c>
      <c r="Q221" s="8" t="s">
        <v>81</v>
      </c>
      <c r="R221" s="10" t="s">
        <v>82</v>
      </c>
      <c r="T221" s="7" t="str">
        <f aca="false">_xlfn.TEXTJOIN( , ,B221,C221)</f>
        <v>electrical_room_section2Spot Cam - PTZ - 7 spot-cam-ptz.jpg</v>
      </c>
    </row>
    <row r="222" s="7" customFormat="true" ht="15.75" hidden="true" customHeight="true" outlineLevel="0" collapsed="false">
      <c r="A222" s="7" t="s">
        <v>20</v>
      </c>
      <c r="B222" s="7" t="s">
        <v>74</v>
      </c>
      <c r="C222" s="7" t="s">
        <v>71</v>
      </c>
      <c r="D222" s="10" t="s">
        <v>233</v>
      </c>
      <c r="E222" s="10" t="s">
        <v>76</v>
      </c>
      <c r="F222" s="7" t="s">
        <v>77</v>
      </c>
      <c r="G222" s="7" t="s">
        <v>78</v>
      </c>
      <c r="O222" s="8" t="s">
        <v>79</v>
      </c>
      <c r="P222" s="8" t="s">
        <v>80</v>
      </c>
      <c r="Q222" s="8" t="s">
        <v>81</v>
      </c>
      <c r="R222" s="10" t="s">
        <v>82</v>
      </c>
      <c r="T222" s="7" t="str">
        <f aca="false">_xlfn.TEXTJOIN( , ,B222,C222)</f>
        <v>electrical_room_section2Spot Cam - PTZ - 8 spot-cam-ptz.jpg</v>
      </c>
    </row>
    <row r="223" s="7" customFormat="true" ht="15.75" hidden="true" customHeight="true" outlineLevel="0" collapsed="false">
      <c r="A223" s="7" t="s">
        <v>20</v>
      </c>
      <c r="B223" s="7" t="s">
        <v>74</v>
      </c>
      <c r="C223" s="7" t="s">
        <v>71</v>
      </c>
      <c r="D223" s="10" t="s">
        <v>233</v>
      </c>
      <c r="E223" s="10" t="s">
        <v>87</v>
      </c>
      <c r="F223" s="7" t="s">
        <v>88</v>
      </c>
      <c r="G223" s="7" t="s">
        <v>78</v>
      </c>
      <c r="O223" s="8" t="s">
        <v>79</v>
      </c>
      <c r="P223" s="8" t="s">
        <v>80</v>
      </c>
      <c r="Q223" s="8" t="s">
        <v>81</v>
      </c>
      <c r="R223" s="10" t="s">
        <v>82</v>
      </c>
      <c r="T223" s="7" t="str">
        <f aca="false">_xlfn.TEXTJOIN( , ,B223,C223)</f>
        <v>electrical_room_section2Spot Cam - PTZ - 8 spot-cam-ptz.jpg</v>
      </c>
    </row>
    <row r="224" s="7" customFormat="true" ht="15.75" hidden="true" customHeight="true" outlineLevel="0" collapsed="false">
      <c r="A224" s="7" t="s">
        <v>20</v>
      </c>
      <c r="B224" s="7" t="s">
        <v>74</v>
      </c>
      <c r="C224" s="7" t="s">
        <v>71</v>
      </c>
      <c r="D224" s="10" t="s">
        <v>233</v>
      </c>
      <c r="E224" s="10" t="s">
        <v>89</v>
      </c>
      <c r="F224" s="7" t="s">
        <v>90</v>
      </c>
      <c r="G224" s="7" t="s">
        <v>78</v>
      </c>
      <c r="O224" s="8" t="s">
        <v>79</v>
      </c>
      <c r="P224" s="8" t="s">
        <v>80</v>
      </c>
      <c r="Q224" s="8" t="s">
        <v>81</v>
      </c>
      <c r="R224" s="10" t="s">
        <v>82</v>
      </c>
      <c r="T224" s="7" t="str">
        <f aca="false">_xlfn.TEXTJOIN( , ,B224,C224)</f>
        <v>electrical_room_section2Spot Cam - PTZ - 8 spot-cam-ptz.jpg</v>
      </c>
    </row>
    <row r="225" s="7" customFormat="true" ht="15.75" hidden="true" customHeight="true" outlineLevel="0" collapsed="false">
      <c r="A225" s="7" t="s">
        <v>20</v>
      </c>
      <c r="B225" s="7" t="s">
        <v>234</v>
      </c>
      <c r="C225" s="7" t="s">
        <v>22</v>
      </c>
      <c r="D225" s="10" t="s">
        <v>235</v>
      </c>
      <c r="E225" s="10" t="s">
        <v>132</v>
      </c>
      <c r="F225" s="7" t="s">
        <v>94</v>
      </c>
      <c r="G225" s="7" t="s">
        <v>78</v>
      </c>
      <c r="O225" s="8" t="s">
        <v>79</v>
      </c>
      <c r="P225" s="8" t="s">
        <v>80</v>
      </c>
      <c r="Q225" s="8" t="s">
        <v>81</v>
      </c>
      <c r="R225" s="10" t="s">
        <v>82</v>
      </c>
      <c r="T225" s="7" t="str">
        <f aca="false">_xlfn.TEXTJOIN( , ,B225,C225)</f>
        <v>electrical_roomSpot Cam - PTZ - 1 spot-cam-ptz.jpg</v>
      </c>
    </row>
    <row r="226" s="7" customFormat="true" ht="15.75" hidden="true" customHeight="true" outlineLevel="0" collapsed="false">
      <c r="A226" s="7" t="s">
        <v>20</v>
      </c>
      <c r="B226" s="7" t="s">
        <v>234</v>
      </c>
      <c r="C226" s="7" t="s">
        <v>22</v>
      </c>
      <c r="D226" s="10" t="s">
        <v>235</v>
      </c>
      <c r="E226" s="10" t="s">
        <v>133</v>
      </c>
      <c r="F226" s="7" t="s">
        <v>77</v>
      </c>
      <c r="G226" s="7" t="s">
        <v>78</v>
      </c>
      <c r="O226" s="8" t="s">
        <v>79</v>
      </c>
      <c r="P226" s="8" t="s">
        <v>80</v>
      </c>
      <c r="Q226" s="8" t="s">
        <v>81</v>
      </c>
      <c r="R226" s="10" t="s">
        <v>82</v>
      </c>
      <c r="T226" s="7" t="str">
        <f aca="false">_xlfn.TEXTJOIN( , ,B226,C226)</f>
        <v>electrical_roomSpot Cam - PTZ - 1 spot-cam-ptz.jpg</v>
      </c>
    </row>
    <row r="227" s="7" customFormat="true" ht="15.75" hidden="true" customHeight="true" outlineLevel="0" collapsed="false">
      <c r="A227" s="7" t="s">
        <v>20</v>
      </c>
      <c r="B227" s="7" t="s">
        <v>234</v>
      </c>
      <c r="C227" s="7" t="s">
        <v>22</v>
      </c>
      <c r="D227" s="10" t="s">
        <v>235</v>
      </c>
      <c r="E227" s="10" t="s">
        <v>92</v>
      </c>
      <c r="F227" s="7" t="s">
        <v>93</v>
      </c>
      <c r="G227" s="7" t="s">
        <v>78</v>
      </c>
      <c r="O227" s="8" t="s">
        <v>79</v>
      </c>
      <c r="P227" s="8" t="s">
        <v>80</v>
      </c>
      <c r="Q227" s="8" t="s">
        <v>81</v>
      </c>
      <c r="R227" s="10" t="s">
        <v>82</v>
      </c>
      <c r="T227" s="7" t="str">
        <f aca="false">_xlfn.TEXTJOIN( , ,B227,C227)</f>
        <v>electrical_roomSpot Cam - PTZ - 1 spot-cam-ptz.jpg</v>
      </c>
    </row>
    <row r="228" s="7" customFormat="true" ht="15.75" hidden="true" customHeight="true" outlineLevel="0" collapsed="false">
      <c r="A228" s="7" t="s">
        <v>20</v>
      </c>
      <c r="B228" s="7" t="s">
        <v>234</v>
      </c>
      <c r="C228" s="7" t="s">
        <v>22</v>
      </c>
      <c r="D228" s="10" t="s">
        <v>235</v>
      </c>
      <c r="E228" s="10" t="s">
        <v>134</v>
      </c>
      <c r="F228" s="7" t="s">
        <v>88</v>
      </c>
      <c r="G228" s="7" t="s">
        <v>78</v>
      </c>
      <c r="O228" s="8" t="s">
        <v>79</v>
      </c>
      <c r="P228" s="8" t="s">
        <v>80</v>
      </c>
      <c r="Q228" s="8" t="s">
        <v>81</v>
      </c>
      <c r="R228" s="10" t="s">
        <v>82</v>
      </c>
      <c r="T228" s="7" t="str">
        <f aca="false">_xlfn.TEXTJOIN( , ,B228,C228)</f>
        <v>electrical_roomSpot Cam - PTZ - 1 spot-cam-ptz.jpg</v>
      </c>
    </row>
    <row r="229" s="7" customFormat="true" ht="15.75" hidden="true" customHeight="true" outlineLevel="0" collapsed="false">
      <c r="A229" s="7" t="s">
        <v>20</v>
      </c>
      <c r="B229" s="7" t="s">
        <v>234</v>
      </c>
      <c r="C229" s="7" t="s">
        <v>22</v>
      </c>
      <c r="D229" s="10" t="s">
        <v>235</v>
      </c>
      <c r="E229" s="10" t="s">
        <v>135</v>
      </c>
      <c r="F229" s="7" t="s">
        <v>95</v>
      </c>
      <c r="G229" s="7" t="s">
        <v>78</v>
      </c>
      <c r="O229" s="8" t="s">
        <v>79</v>
      </c>
      <c r="P229" s="8" t="s">
        <v>80</v>
      </c>
      <c r="Q229" s="8" t="s">
        <v>81</v>
      </c>
      <c r="R229" s="10" t="s">
        <v>82</v>
      </c>
      <c r="T229" s="7" t="str">
        <f aca="false">_xlfn.TEXTJOIN( , ,B229,C229)</f>
        <v>electrical_roomSpot Cam - PTZ - 1 spot-cam-ptz.jpg</v>
      </c>
    </row>
    <row r="230" s="7" customFormat="true" ht="15.75" hidden="true" customHeight="true" outlineLevel="0" collapsed="false">
      <c r="A230" s="7" t="s">
        <v>20</v>
      </c>
      <c r="B230" s="7" t="s">
        <v>234</v>
      </c>
      <c r="C230" s="7" t="s">
        <v>22</v>
      </c>
      <c r="D230" s="10" t="s">
        <v>235</v>
      </c>
      <c r="E230" s="10" t="s">
        <v>136</v>
      </c>
      <c r="F230" s="10" t="s">
        <v>161</v>
      </c>
      <c r="G230" s="10" t="s">
        <v>102</v>
      </c>
      <c r="O230" s="8" t="s">
        <v>79</v>
      </c>
      <c r="P230" s="8" t="s">
        <v>80</v>
      </c>
      <c r="Q230" s="8" t="s">
        <v>81</v>
      </c>
      <c r="R230" s="10" t="s">
        <v>82</v>
      </c>
      <c r="T230" s="7" t="str">
        <f aca="false">_xlfn.TEXTJOIN( , ,B230,C230)</f>
        <v>electrical_roomSpot Cam - PTZ - 1 spot-cam-ptz.jpg</v>
      </c>
    </row>
    <row r="231" s="7" customFormat="true" ht="15.75" hidden="true" customHeight="true" outlineLevel="0" collapsed="false">
      <c r="A231" s="7" t="s">
        <v>20</v>
      </c>
      <c r="B231" s="7" t="s">
        <v>234</v>
      </c>
      <c r="C231" s="7" t="s">
        <v>33</v>
      </c>
      <c r="D231" s="10" t="s">
        <v>236</v>
      </c>
      <c r="E231" s="7" t="s">
        <v>164</v>
      </c>
      <c r="F231" s="7" t="s">
        <v>106</v>
      </c>
      <c r="G231" s="7" t="s">
        <v>78</v>
      </c>
      <c r="O231" s="8" t="s">
        <v>79</v>
      </c>
      <c r="P231" s="8" t="s">
        <v>80</v>
      </c>
      <c r="Q231" s="8" t="s">
        <v>81</v>
      </c>
      <c r="R231" s="10" t="s">
        <v>82</v>
      </c>
      <c r="T231" s="7" t="str">
        <f aca="false">_xlfn.TEXTJOIN( , ,B231,C231)</f>
        <v>electrical_roomSpot Cam - PTZ - 10 spot-cam-ptz.jpg</v>
      </c>
    </row>
    <row r="232" s="7" customFormat="true" ht="15.75" hidden="true" customHeight="true" outlineLevel="0" collapsed="false">
      <c r="A232" s="7" t="s">
        <v>20</v>
      </c>
      <c r="B232" s="7" t="s">
        <v>234</v>
      </c>
      <c r="C232" s="7" t="s">
        <v>40</v>
      </c>
      <c r="D232" s="7" t="s">
        <v>23</v>
      </c>
      <c r="F232" s="7" t="s">
        <v>24</v>
      </c>
      <c r="G232" s="7" t="s">
        <v>25</v>
      </c>
      <c r="O232" s="8" t="s">
        <v>26</v>
      </c>
      <c r="P232" s="8" t="s">
        <v>53</v>
      </c>
      <c r="T232" s="7" t="str">
        <f aca="false">_xlfn.TEXTJOIN( , ,B232,C232)</f>
        <v>electrical_roomSpot Cam - PTZ - 11 spot-cam-ptz.jpg</v>
      </c>
    </row>
    <row r="233" s="7" customFormat="true" ht="15.75" hidden="true" customHeight="true" outlineLevel="0" collapsed="false">
      <c r="A233" s="7" t="s">
        <v>20</v>
      </c>
      <c r="B233" s="7" t="s">
        <v>234</v>
      </c>
      <c r="C233" s="7" t="s">
        <v>40</v>
      </c>
      <c r="D233" s="7" t="s">
        <v>23</v>
      </c>
      <c r="F233" s="7" t="s">
        <v>24</v>
      </c>
      <c r="G233" s="7" t="s">
        <v>25</v>
      </c>
      <c r="I233" s="8" t="s">
        <v>26</v>
      </c>
      <c r="J233" s="8" t="s">
        <v>53</v>
      </c>
      <c r="O233" s="8" t="s">
        <v>26</v>
      </c>
      <c r="P233" s="8" t="s">
        <v>53</v>
      </c>
      <c r="T233" s="7" t="str">
        <f aca="false">_xlfn.TEXTJOIN( , ,B233,C233)</f>
        <v>electrical_roomSpot Cam - PTZ - 11 spot-cam-ptz.jpg</v>
      </c>
    </row>
    <row r="234" s="7" customFormat="true" ht="15.75" hidden="true" customHeight="true" outlineLevel="0" collapsed="false">
      <c r="A234" s="7" t="s">
        <v>20</v>
      </c>
      <c r="B234" s="7" t="s">
        <v>234</v>
      </c>
      <c r="C234" s="7" t="s">
        <v>40</v>
      </c>
      <c r="D234" s="7" t="s">
        <v>23</v>
      </c>
      <c r="E234" s="7" t="s">
        <v>30</v>
      </c>
      <c r="F234" s="7" t="s">
        <v>31</v>
      </c>
      <c r="G234" s="7" t="s">
        <v>25</v>
      </c>
      <c r="O234" s="8" t="s">
        <v>26</v>
      </c>
      <c r="P234" s="8" t="s">
        <v>53</v>
      </c>
      <c r="T234" s="7" t="str">
        <f aca="false">_xlfn.TEXTJOIN( , ,B234,C234)</f>
        <v>electrical_roomSpot Cam - PTZ - 11 spot-cam-ptz.jpg</v>
      </c>
    </row>
    <row r="235" s="7" customFormat="true" ht="15.75" hidden="true" customHeight="true" outlineLevel="0" collapsed="false">
      <c r="A235" s="7" t="s">
        <v>20</v>
      </c>
      <c r="B235" s="7" t="s">
        <v>234</v>
      </c>
      <c r="C235" s="7" t="s">
        <v>49</v>
      </c>
      <c r="D235" s="7" t="s">
        <v>23</v>
      </c>
      <c r="E235" s="7" t="s">
        <v>34</v>
      </c>
      <c r="F235" s="7" t="s">
        <v>35</v>
      </c>
      <c r="G235" s="7" t="s">
        <v>36</v>
      </c>
      <c r="J235" s="7" t="n">
        <v>0</v>
      </c>
      <c r="K235" s="7" t="n">
        <v>10</v>
      </c>
      <c r="L235" s="7" t="n">
        <v>4</v>
      </c>
      <c r="M235" s="7" t="n">
        <v>9</v>
      </c>
      <c r="N235" s="10" t="s">
        <v>37</v>
      </c>
      <c r="O235" s="8" t="s">
        <v>26</v>
      </c>
      <c r="P235" s="8" t="s">
        <v>32</v>
      </c>
      <c r="R235" s="10" t="s">
        <v>38</v>
      </c>
      <c r="T235" s="7" t="str">
        <f aca="false">_xlfn.TEXTJOIN( , ,B235,C235)</f>
        <v>electrical_roomSpot Cam - PTZ - 12 spot-cam-ptz.jpg</v>
      </c>
    </row>
    <row r="236" s="7" customFormat="true" ht="15.75" hidden="true" customHeight="true" outlineLevel="0" collapsed="false">
      <c r="A236" s="7" t="s">
        <v>20</v>
      </c>
      <c r="B236" s="7" t="s">
        <v>234</v>
      </c>
      <c r="C236" s="7" t="s">
        <v>49</v>
      </c>
      <c r="D236" s="7" t="s">
        <v>23</v>
      </c>
      <c r="E236" s="7" t="s">
        <v>39</v>
      </c>
      <c r="F236" s="7" t="s">
        <v>35</v>
      </c>
      <c r="G236" s="7" t="s">
        <v>36</v>
      </c>
      <c r="J236" s="7" t="n">
        <v>0</v>
      </c>
      <c r="K236" s="7" t="n">
        <v>10</v>
      </c>
      <c r="L236" s="7" t="n">
        <v>4</v>
      </c>
      <c r="M236" s="7" t="n">
        <v>9</v>
      </c>
      <c r="N236" s="10" t="s">
        <v>37</v>
      </c>
      <c r="O236" s="8" t="s">
        <v>26</v>
      </c>
      <c r="P236" s="8" t="s">
        <v>32</v>
      </c>
      <c r="R236" s="10" t="s">
        <v>38</v>
      </c>
      <c r="T236" s="7" t="str">
        <f aca="false">_xlfn.TEXTJOIN( , ,B236,C236)</f>
        <v>electrical_roomSpot Cam - PTZ - 12 spot-cam-ptz.jpg</v>
      </c>
    </row>
    <row r="237" s="7" customFormat="true" ht="15.75" hidden="true" customHeight="true" outlineLevel="0" collapsed="false">
      <c r="A237" s="7" t="s">
        <v>20</v>
      </c>
      <c r="B237" s="7" t="s">
        <v>234</v>
      </c>
      <c r="C237" s="7" t="s">
        <v>50</v>
      </c>
      <c r="D237" s="7" t="s">
        <v>23</v>
      </c>
      <c r="F237" s="7" t="s">
        <v>24</v>
      </c>
      <c r="G237" s="7" t="s">
        <v>25</v>
      </c>
      <c r="O237" s="8" t="s">
        <v>26</v>
      </c>
      <c r="P237" s="8" t="s">
        <v>53</v>
      </c>
      <c r="T237" s="7" t="str">
        <f aca="false">_xlfn.TEXTJOIN( , ,B237,C237)</f>
        <v>electrical_roomSpot Cam - PTZ - 13 spot-cam-ptz.jpg</v>
      </c>
    </row>
    <row r="238" s="7" customFormat="true" ht="15.75" hidden="true" customHeight="true" outlineLevel="0" collapsed="false">
      <c r="A238" s="7" t="s">
        <v>20</v>
      </c>
      <c r="B238" s="7" t="s">
        <v>234</v>
      </c>
      <c r="C238" s="7" t="s">
        <v>50</v>
      </c>
      <c r="D238" s="7" t="s">
        <v>23</v>
      </c>
      <c r="F238" s="7" t="s">
        <v>24</v>
      </c>
      <c r="G238" s="7" t="s">
        <v>25</v>
      </c>
      <c r="I238" s="8" t="s">
        <v>26</v>
      </c>
      <c r="J238" s="8" t="s">
        <v>53</v>
      </c>
      <c r="T238" s="7" t="str">
        <f aca="false">_xlfn.TEXTJOIN( , ,B238,C238)</f>
        <v>electrical_roomSpot Cam - PTZ - 13 spot-cam-ptz.jpg</v>
      </c>
    </row>
    <row r="239" s="7" customFormat="true" ht="15.75" hidden="true" customHeight="true" outlineLevel="0" collapsed="false">
      <c r="A239" s="7" t="s">
        <v>20</v>
      </c>
      <c r="B239" s="7" t="s">
        <v>234</v>
      </c>
      <c r="C239" s="7" t="s">
        <v>50</v>
      </c>
      <c r="D239" s="7" t="s">
        <v>23</v>
      </c>
      <c r="E239" s="7" t="s">
        <v>30</v>
      </c>
      <c r="F239" s="7" t="s">
        <v>31</v>
      </c>
      <c r="G239" s="7" t="s">
        <v>25</v>
      </c>
      <c r="O239" s="8" t="s">
        <v>26</v>
      </c>
      <c r="P239" s="8" t="s">
        <v>53</v>
      </c>
      <c r="T239" s="7" t="str">
        <f aca="false">_xlfn.TEXTJOIN( , ,B239,C239)</f>
        <v>electrical_roomSpot Cam - PTZ - 13 spot-cam-ptz.jpg</v>
      </c>
    </row>
    <row r="240" s="7" customFormat="true" ht="15.75" hidden="true" customHeight="true" outlineLevel="0" collapsed="false">
      <c r="A240" s="7" t="s">
        <v>20</v>
      </c>
      <c r="B240" s="7" t="s">
        <v>234</v>
      </c>
      <c r="C240" s="7" t="s">
        <v>51</v>
      </c>
      <c r="D240" s="7" t="s">
        <v>23</v>
      </c>
      <c r="E240" s="7" t="s">
        <v>34</v>
      </c>
      <c r="F240" s="7" t="s">
        <v>35</v>
      </c>
      <c r="G240" s="7" t="s">
        <v>36</v>
      </c>
      <c r="J240" s="7" t="n">
        <v>0</v>
      </c>
      <c r="K240" s="7" t="n">
        <v>10</v>
      </c>
      <c r="L240" s="7" t="n">
        <v>4</v>
      </c>
      <c r="M240" s="7" t="n">
        <v>9</v>
      </c>
      <c r="N240" s="10" t="s">
        <v>37</v>
      </c>
      <c r="O240" s="8" t="s">
        <v>26</v>
      </c>
      <c r="P240" s="8" t="s">
        <v>32</v>
      </c>
      <c r="R240" s="10" t="s">
        <v>38</v>
      </c>
      <c r="T240" s="7" t="str">
        <f aca="false">_xlfn.TEXTJOIN( , ,B240,C240)</f>
        <v>electrical_roomSpot Cam - PTZ - 14 spot-cam-ptz.jpg</v>
      </c>
    </row>
    <row r="241" s="7" customFormat="true" ht="15.75" hidden="true" customHeight="true" outlineLevel="0" collapsed="false">
      <c r="A241" s="7" t="s">
        <v>20</v>
      </c>
      <c r="B241" s="7" t="s">
        <v>234</v>
      </c>
      <c r="C241" s="7" t="s">
        <v>51</v>
      </c>
      <c r="D241" s="7" t="s">
        <v>23</v>
      </c>
      <c r="E241" s="7" t="s">
        <v>39</v>
      </c>
      <c r="F241" s="7" t="s">
        <v>35</v>
      </c>
      <c r="G241" s="7" t="s">
        <v>36</v>
      </c>
      <c r="J241" s="7" t="n">
        <v>0</v>
      </c>
      <c r="K241" s="7" t="n">
        <v>10</v>
      </c>
      <c r="L241" s="7" t="n">
        <v>4</v>
      </c>
      <c r="M241" s="7" t="n">
        <v>9</v>
      </c>
      <c r="N241" s="10" t="s">
        <v>37</v>
      </c>
      <c r="O241" s="8" t="s">
        <v>26</v>
      </c>
      <c r="P241" s="8" t="s">
        <v>32</v>
      </c>
      <c r="R241" s="10" t="s">
        <v>38</v>
      </c>
      <c r="T241" s="7" t="str">
        <f aca="false">_xlfn.TEXTJOIN( , ,B241,C241)</f>
        <v>electrical_roomSpot Cam - PTZ - 14 spot-cam-ptz.jpg</v>
      </c>
    </row>
    <row r="242" s="7" customFormat="true" ht="15.75" hidden="true" customHeight="true" outlineLevel="0" collapsed="false">
      <c r="A242" s="7" t="s">
        <v>20</v>
      </c>
      <c r="B242" s="7" t="s">
        <v>234</v>
      </c>
      <c r="C242" s="12" t="s">
        <v>52</v>
      </c>
      <c r="D242" s="10" t="s">
        <v>237</v>
      </c>
      <c r="E242" s="13" t="s">
        <v>238</v>
      </c>
      <c r="F242" s="7" t="s">
        <v>181</v>
      </c>
      <c r="G242" s="7" t="s">
        <v>78</v>
      </c>
      <c r="T242" s="7" t="str">
        <f aca="false">_xlfn.TEXTJOIN( , ,B242,C242)</f>
        <v>electrical_roomSpot Cam - PTZ - 15 spot-cam-ptz.jpg</v>
      </c>
    </row>
    <row r="243" s="7" customFormat="true" ht="15.75" hidden="true" customHeight="true" outlineLevel="0" collapsed="false">
      <c r="A243" s="7" t="s">
        <v>20</v>
      </c>
      <c r="B243" s="7" t="s">
        <v>234</v>
      </c>
      <c r="C243" s="12" t="s">
        <v>52</v>
      </c>
      <c r="D243" s="10" t="s">
        <v>237</v>
      </c>
      <c r="E243" s="13" t="s">
        <v>239</v>
      </c>
      <c r="F243" s="7" t="s">
        <v>181</v>
      </c>
      <c r="G243" s="7" t="s">
        <v>78</v>
      </c>
      <c r="T243" s="7" t="str">
        <f aca="false">_xlfn.TEXTJOIN( , ,B243,C243)</f>
        <v>electrical_roomSpot Cam - PTZ - 15 spot-cam-ptz.jpg</v>
      </c>
    </row>
    <row r="244" s="7" customFormat="true" ht="15.75" hidden="true" customHeight="true" outlineLevel="0" collapsed="false">
      <c r="A244" s="7" t="s">
        <v>20</v>
      </c>
      <c r="B244" s="7" t="s">
        <v>234</v>
      </c>
      <c r="C244" s="12" t="s">
        <v>52</v>
      </c>
      <c r="D244" s="10" t="s">
        <v>237</v>
      </c>
      <c r="E244" s="13" t="s">
        <v>240</v>
      </c>
      <c r="F244" s="7" t="s">
        <v>181</v>
      </c>
      <c r="G244" s="7" t="s">
        <v>78</v>
      </c>
      <c r="T244" s="7" t="str">
        <f aca="false">_xlfn.TEXTJOIN( , ,B244,C244)</f>
        <v>electrical_roomSpot Cam - PTZ - 15 spot-cam-ptz.jpg</v>
      </c>
    </row>
    <row r="245" s="7" customFormat="true" ht="15.75" hidden="true" customHeight="true" outlineLevel="0" collapsed="false">
      <c r="A245" s="7" t="s">
        <v>20</v>
      </c>
      <c r="B245" s="7" t="s">
        <v>234</v>
      </c>
      <c r="C245" s="12" t="s">
        <v>52</v>
      </c>
      <c r="D245" s="10" t="s">
        <v>237</v>
      </c>
      <c r="E245" s="13" t="s">
        <v>201</v>
      </c>
      <c r="F245" s="7" t="s">
        <v>181</v>
      </c>
      <c r="G245" s="7" t="s">
        <v>78</v>
      </c>
      <c r="I245" s="8" t="s">
        <v>241</v>
      </c>
      <c r="J245" s="8" t="s">
        <v>242</v>
      </c>
      <c r="K245" s="8" t="s">
        <v>243</v>
      </c>
      <c r="T245" s="7" t="str">
        <f aca="false">_xlfn.TEXTJOIN( , ,B245,C245)</f>
        <v>electrical_roomSpot Cam - PTZ - 15 spot-cam-ptz.jpg</v>
      </c>
    </row>
    <row r="246" s="7" customFormat="true" ht="15.75" hidden="true" customHeight="true" outlineLevel="0" collapsed="false">
      <c r="A246" s="7" t="s">
        <v>20</v>
      </c>
      <c r="B246" s="7" t="s">
        <v>234</v>
      </c>
      <c r="C246" s="12" t="s">
        <v>52</v>
      </c>
      <c r="D246" s="10" t="s">
        <v>237</v>
      </c>
      <c r="E246" s="13" t="s">
        <v>205</v>
      </c>
      <c r="F246" s="7" t="s">
        <v>182</v>
      </c>
      <c r="G246" s="7" t="s">
        <v>78</v>
      </c>
      <c r="T246" s="7" t="str">
        <f aca="false">_xlfn.TEXTJOIN( , ,B246,C246)</f>
        <v>electrical_roomSpot Cam - PTZ - 15 spot-cam-ptz.jpg</v>
      </c>
    </row>
    <row r="247" s="7" customFormat="true" ht="15.75" hidden="true" customHeight="true" outlineLevel="0" collapsed="false">
      <c r="A247" s="7" t="s">
        <v>20</v>
      </c>
      <c r="B247" s="7" t="s">
        <v>234</v>
      </c>
      <c r="C247" s="12" t="s">
        <v>52</v>
      </c>
      <c r="D247" s="10" t="s">
        <v>237</v>
      </c>
      <c r="E247" s="13" t="s">
        <v>206</v>
      </c>
      <c r="F247" s="7" t="s">
        <v>182</v>
      </c>
      <c r="G247" s="7" t="s">
        <v>78</v>
      </c>
      <c r="T247" s="7" t="str">
        <f aca="false">_xlfn.TEXTJOIN( , ,B247,C247)</f>
        <v>electrical_roomSpot Cam - PTZ - 15 spot-cam-ptz.jpg</v>
      </c>
    </row>
    <row r="248" s="7" customFormat="true" ht="15.75" hidden="true" customHeight="true" outlineLevel="0" collapsed="false">
      <c r="A248" s="7" t="s">
        <v>20</v>
      </c>
      <c r="B248" s="7" t="s">
        <v>234</v>
      </c>
      <c r="C248" s="12" t="s">
        <v>52</v>
      </c>
      <c r="D248" s="10" t="s">
        <v>237</v>
      </c>
      <c r="E248" s="13" t="s">
        <v>207</v>
      </c>
      <c r="F248" s="7" t="s">
        <v>182</v>
      </c>
      <c r="G248" s="7" t="s">
        <v>78</v>
      </c>
      <c r="T248" s="7" t="str">
        <f aca="false">_xlfn.TEXTJOIN( , ,B248,C248)</f>
        <v>electrical_roomSpot Cam - PTZ - 15 spot-cam-ptz.jpg</v>
      </c>
    </row>
    <row r="249" s="7" customFormat="true" ht="15.75" hidden="true" customHeight="true" outlineLevel="0" collapsed="false">
      <c r="A249" s="7" t="s">
        <v>20</v>
      </c>
      <c r="B249" s="7" t="s">
        <v>234</v>
      </c>
      <c r="C249" s="12" t="s">
        <v>52</v>
      </c>
      <c r="D249" s="10" t="s">
        <v>237</v>
      </c>
      <c r="E249" s="14" t="s">
        <v>209</v>
      </c>
      <c r="F249" s="7" t="s">
        <v>182</v>
      </c>
      <c r="G249" s="7" t="s">
        <v>78</v>
      </c>
      <c r="T249" s="7" t="str">
        <f aca="false">_xlfn.TEXTJOIN( , ,B249,C249)</f>
        <v>electrical_roomSpot Cam - PTZ - 15 spot-cam-ptz.jpg</v>
      </c>
    </row>
    <row r="250" s="7" customFormat="true" ht="15.75" hidden="true" customHeight="true" outlineLevel="0" collapsed="false">
      <c r="A250" s="7" t="s">
        <v>20</v>
      </c>
      <c r="B250" s="7" t="s">
        <v>234</v>
      </c>
      <c r="C250" s="12" t="s">
        <v>52</v>
      </c>
      <c r="D250" s="10" t="s">
        <v>237</v>
      </c>
      <c r="E250" s="14" t="s">
        <v>209</v>
      </c>
      <c r="F250" s="7" t="s">
        <v>182</v>
      </c>
      <c r="G250" s="7" t="s">
        <v>78</v>
      </c>
      <c r="I250" s="8" t="s">
        <v>241</v>
      </c>
      <c r="J250" s="8" t="s">
        <v>242</v>
      </c>
      <c r="K250" s="8" t="s">
        <v>243</v>
      </c>
      <c r="T250" s="7" t="str">
        <f aca="false">_xlfn.TEXTJOIN( , ,B250,C250)</f>
        <v>electrical_roomSpot Cam - PTZ - 15 spot-cam-ptz.jpg</v>
      </c>
    </row>
    <row r="251" s="7" customFormat="true" ht="15.75" hidden="true" customHeight="true" outlineLevel="0" collapsed="false">
      <c r="A251" s="7" t="s">
        <v>20</v>
      </c>
      <c r="B251" s="7" t="s">
        <v>234</v>
      </c>
      <c r="C251" s="12" t="s">
        <v>52</v>
      </c>
      <c r="D251" s="10" t="s">
        <v>237</v>
      </c>
      <c r="E251" s="13" t="s">
        <v>210</v>
      </c>
      <c r="F251" s="7" t="s">
        <v>182</v>
      </c>
      <c r="G251" s="7" t="s">
        <v>78</v>
      </c>
      <c r="T251" s="7" t="str">
        <f aca="false">_xlfn.TEXTJOIN( , ,B251,C251)</f>
        <v>electrical_roomSpot Cam - PTZ - 15 spot-cam-ptz.jpg</v>
      </c>
    </row>
    <row r="252" s="7" customFormat="true" ht="15.75" hidden="true" customHeight="true" outlineLevel="0" collapsed="false">
      <c r="A252" s="7" t="s">
        <v>20</v>
      </c>
      <c r="B252" s="7" t="s">
        <v>234</v>
      </c>
      <c r="C252" s="12" t="s">
        <v>52</v>
      </c>
      <c r="D252" s="10" t="s">
        <v>237</v>
      </c>
      <c r="E252" s="13" t="s">
        <v>211</v>
      </c>
      <c r="F252" s="7" t="s">
        <v>182</v>
      </c>
      <c r="G252" s="7" t="s">
        <v>78</v>
      </c>
      <c r="T252" s="7" t="str">
        <f aca="false">_xlfn.TEXTJOIN( , ,B252,C252)</f>
        <v>electrical_roomSpot Cam - PTZ - 15 spot-cam-ptz.jpg</v>
      </c>
    </row>
    <row r="253" s="7" customFormat="true" ht="15.75" hidden="true" customHeight="true" outlineLevel="0" collapsed="false">
      <c r="A253" s="7" t="s">
        <v>20</v>
      </c>
      <c r="B253" s="7" t="s">
        <v>234</v>
      </c>
      <c r="C253" s="12" t="s">
        <v>52</v>
      </c>
      <c r="D253" s="10" t="s">
        <v>237</v>
      </c>
      <c r="E253" s="13" t="s">
        <v>86</v>
      </c>
      <c r="F253" s="7" t="s">
        <v>84</v>
      </c>
      <c r="G253" s="7" t="s">
        <v>78</v>
      </c>
      <c r="T253" s="7" t="str">
        <f aca="false">_xlfn.TEXTJOIN( , ,B253,C253)</f>
        <v>electrical_roomSpot Cam - PTZ - 15 spot-cam-ptz.jpg</v>
      </c>
    </row>
    <row r="254" s="7" customFormat="true" ht="15.75" hidden="true" customHeight="true" outlineLevel="0" collapsed="false">
      <c r="A254" s="7" t="s">
        <v>20</v>
      </c>
      <c r="B254" s="7" t="s">
        <v>234</v>
      </c>
      <c r="C254" s="12" t="s">
        <v>52</v>
      </c>
      <c r="D254" s="10" t="s">
        <v>237</v>
      </c>
      <c r="E254" s="13" t="s">
        <v>86</v>
      </c>
      <c r="F254" s="7" t="s">
        <v>84</v>
      </c>
      <c r="G254" s="7" t="s">
        <v>78</v>
      </c>
      <c r="T254" s="7" t="str">
        <f aca="false">_xlfn.TEXTJOIN( , ,B254,C254)</f>
        <v>electrical_roomSpot Cam - PTZ - 15 spot-cam-ptz.jpg</v>
      </c>
    </row>
    <row r="255" s="7" customFormat="true" ht="15.75" hidden="true" customHeight="true" outlineLevel="0" collapsed="false">
      <c r="A255" s="7" t="s">
        <v>20</v>
      </c>
      <c r="B255" s="7" t="s">
        <v>234</v>
      </c>
      <c r="C255" s="12" t="s">
        <v>52</v>
      </c>
      <c r="D255" s="10" t="s">
        <v>237</v>
      </c>
      <c r="E255" s="13" t="s">
        <v>86</v>
      </c>
      <c r="F255" s="7" t="s">
        <v>84</v>
      </c>
      <c r="G255" s="7" t="s">
        <v>78</v>
      </c>
      <c r="T255" s="7" t="str">
        <f aca="false">_xlfn.TEXTJOIN( , ,B255,C255)</f>
        <v>electrical_roomSpot Cam - PTZ - 15 spot-cam-ptz.jpg</v>
      </c>
    </row>
    <row r="256" s="7" customFormat="true" ht="15.75" hidden="true" customHeight="true" outlineLevel="0" collapsed="false">
      <c r="A256" s="7" t="s">
        <v>20</v>
      </c>
      <c r="B256" s="7" t="s">
        <v>234</v>
      </c>
      <c r="C256" s="12" t="s">
        <v>52</v>
      </c>
      <c r="D256" s="10" t="s">
        <v>237</v>
      </c>
      <c r="E256" s="13" t="s">
        <v>86</v>
      </c>
      <c r="F256" s="7" t="s">
        <v>84</v>
      </c>
      <c r="G256" s="7" t="s">
        <v>78</v>
      </c>
      <c r="I256" s="8" t="s">
        <v>241</v>
      </c>
      <c r="J256" s="8" t="s">
        <v>242</v>
      </c>
      <c r="K256" s="8" t="s">
        <v>243</v>
      </c>
      <c r="T256" s="7" t="str">
        <f aca="false">_xlfn.TEXTJOIN( , ,B256,C256)</f>
        <v>electrical_roomSpot Cam - PTZ - 15 spot-cam-ptz.jpg</v>
      </c>
    </row>
    <row r="257" s="7" customFormat="true" ht="15.75" hidden="true" customHeight="true" outlineLevel="0" collapsed="false">
      <c r="A257" s="7" t="s">
        <v>20</v>
      </c>
      <c r="B257" s="7" t="s">
        <v>234</v>
      </c>
      <c r="C257" s="7" t="s">
        <v>52</v>
      </c>
      <c r="D257" s="10" t="s">
        <v>237</v>
      </c>
      <c r="E257" s="10" t="s">
        <v>92</v>
      </c>
      <c r="F257" s="7" t="s">
        <v>93</v>
      </c>
      <c r="G257" s="7" t="s">
        <v>78</v>
      </c>
      <c r="O257" s="8" t="s">
        <v>241</v>
      </c>
      <c r="P257" s="8" t="s">
        <v>242</v>
      </c>
      <c r="Q257" s="8" t="s">
        <v>243</v>
      </c>
      <c r="T257" s="7" t="str">
        <f aca="false">_xlfn.TEXTJOIN( , ,B257,C257)</f>
        <v>electrical_roomSpot Cam - PTZ - 15 spot-cam-ptz.jpg</v>
      </c>
    </row>
    <row r="258" s="7" customFormat="true" ht="15.75" hidden="true" customHeight="true" outlineLevel="0" collapsed="false">
      <c r="A258" s="7" t="s">
        <v>20</v>
      </c>
      <c r="B258" s="7" t="s">
        <v>234</v>
      </c>
      <c r="C258" s="7" t="s">
        <v>55</v>
      </c>
      <c r="D258" s="10" t="s">
        <v>237</v>
      </c>
      <c r="E258" s="7" t="s">
        <v>196</v>
      </c>
      <c r="F258" s="10" t="s">
        <v>197</v>
      </c>
      <c r="G258" s="7" t="s">
        <v>78</v>
      </c>
      <c r="O258" s="8" t="s">
        <v>244</v>
      </c>
      <c r="P258" s="8" t="s">
        <v>245</v>
      </c>
      <c r="Q258" s="7" t="s">
        <v>246</v>
      </c>
      <c r="T258" s="7" t="str">
        <f aca="false">_xlfn.TEXTJOIN( , ,B258,C258)</f>
        <v>electrical_roomSpot Cam - PTZ - 16 spot-cam-ptz.jpg</v>
      </c>
    </row>
    <row r="259" s="7" customFormat="true" ht="15.75" hidden="true" customHeight="true" outlineLevel="0" collapsed="false">
      <c r="A259" s="7" t="s">
        <v>20</v>
      </c>
      <c r="B259" s="7" t="s">
        <v>234</v>
      </c>
      <c r="C259" s="7" t="s">
        <v>55</v>
      </c>
      <c r="D259" s="10" t="s">
        <v>237</v>
      </c>
      <c r="E259" s="7" t="s">
        <v>198</v>
      </c>
      <c r="F259" s="10" t="s">
        <v>197</v>
      </c>
      <c r="G259" s="7" t="s">
        <v>78</v>
      </c>
      <c r="O259" s="8" t="s">
        <v>244</v>
      </c>
      <c r="P259" s="8" t="s">
        <v>245</v>
      </c>
      <c r="Q259" s="7" t="s">
        <v>246</v>
      </c>
      <c r="T259" s="7" t="str">
        <f aca="false">_xlfn.TEXTJOIN( , ,B259,C259)</f>
        <v>electrical_roomSpot Cam - PTZ - 16 spot-cam-ptz.jpg</v>
      </c>
    </row>
    <row r="260" s="7" customFormat="true" ht="15.75" hidden="true" customHeight="true" outlineLevel="0" collapsed="false">
      <c r="A260" s="7" t="s">
        <v>20</v>
      </c>
      <c r="B260" s="7" t="s">
        <v>234</v>
      </c>
      <c r="C260" s="12" t="s">
        <v>56</v>
      </c>
      <c r="D260" s="10" t="s">
        <v>247</v>
      </c>
      <c r="E260" s="13" t="s">
        <v>248</v>
      </c>
      <c r="F260" s="7" t="s">
        <v>182</v>
      </c>
      <c r="G260" s="7" t="s">
        <v>78</v>
      </c>
      <c r="T260" s="7" t="str">
        <f aca="false">_xlfn.TEXTJOIN( , ,B260,C260)</f>
        <v>electrical_roomSpot Cam - PTZ - 17 spot-cam-ptz.jpg</v>
      </c>
    </row>
    <row r="261" s="7" customFormat="true" ht="15.75" hidden="true" customHeight="true" outlineLevel="0" collapsed="false">
      <c r="A261" s="7" t="s">
        <v>20</v>
      </c>
      <c r="B261" s="7" t="s">
        <v>234</v>
      </c>
      <c r="C261" s="12" t="s">
        <v>56</v>
      </c>
      <c r="D261" s="10" t="s">
        <v>247</v>
      </c>
      <c r="E261" s="13" t="s">
        <v>249</v>
      </c>
      <c r="F261" s="7" t="s">
        <v>182</v>
      </c>
      <c r="G261" s="7" t="s">
        <v>78</v>
      </c>
      <c r="T261" s="7" t="str">
        <f aca="false">_xlfn.TEXTJOIN( , ,B261,C261)</f>
        <v>electrical_roomSpot Cam - PTZ - 17 spot-cam-ptz.jpg</v>
      </c>
    </row>
    <row r="262" s="7" customFormat="true" ht="15.75" hidden="true" customHeight="true" outlineLevel="0" collapsed="false">
      <c r="A262" s="7" t="s">
        <v>20</v>
      </c>
      <c r="B262" s="7" t="s">
        <v>234</v>
      </c>
      <c r="C262" s="12" t="s">
        <v>56</v>
      </c>
      <c r="D262" s="10" t="s">
        <v>247</v>
      </c>
      <c r="E262" s="13" t="s">
        <v>250</v>
      </c>
      <c r="F262" s="7" t="s">
        <v>182</v>
      </c>
      <c r="G262" s="7" t="s">
        <v>78</v>
      </c>
      <c r="T262" s="7" t="str">
        <f aca="false">_xlfn.TEXTJOIN( , ,B262,C262)</f>
        <v>electrical_roomSpot Cam - PTZ - 17 spot-cam-ptz.jpg</v>
      </c>
    </row>
    <row r="263" s="7" customFormat="true" ht="15.75" hidden="true" customHeight="true" outlineLevel="0" collapsed="false">
      <c r="A263" s="7" t="s">
        <v>20</v>
      </c>
      <c r="B263" s="7" t="s">
        <v>234</v>
      </c>
      <c r="C263" s="12" t="s">
        <v>56</v>
      </c>
      <c r="D263" s="10" t="s">
        <v>247</v>
      </c>
      <c r="E263" s="13" t="s">
        <v>251</v>
      </c>
      <c r="F263" s="7" t="s">
        <v>182</v>
      </c>
      <c r="G263" s="7" t="s">
        <v>78</v>
      </c>
      <c r="T263" s="7" t="str">
        <f aca="false">_xlfn.TEXTJOIN( , ,B263,C263)</f>
        <v>electrical_roomSpot Cam - PTZ - 17 spot-cam-ptz.jpg</v>
      </c>
    </row>
    <row r="264" s="7" customFormat="true" ht="15.75" hidden="true" customHeight="true" outlineLevel="0" collapsed="false">
      <c r="A264" s="7" t="s">
        <v>20</v>
      </c>
      <c r="B264" s="7" t="s">
        <v>234</v>
      </c>
      <c r="C264" s="12" t="s">
        <v>56</v>
      </c>
      <c r="D264" s="10" t="s">
        <v>247</v>
      </c>
      <c r="E264" s="13" t="s">
        <v>252</v>
      </c>
      <c r="F264" s="7" t="s">
        <v>182</v>
      </c>
      <c r="G264" s="7" t="s">
        <v>78</v>
      </c>
      <c r="T264" s="7" t="str">
        <f aca="false">_xlfn.TEXTJOIN( , ,B264,C264)</f>
        <v>electrical_roomSpot Cam - PTZ - 17 spot-cam-ptz.jpg</v>
      </c>
    </row>
    <row r="265" s="7" customFormat="true" ht="15.75" hidden="true" customHeight="true" outlineLevel="0" collapsed="false">
      <c r="A265" s="7" t="s">
        <v>20</v>
      </c>
      <c r="B265" s="7" t="s">
        <v>234</v>
      </c>
      <c r="C265" s="12" t="s">
        <v>56</v>
      </c>
      <c r="D265" s="10" t="s">
        <v>247</v>
      </c>
      <c r="E265" s="13" t="s">
        <v>253</v>
      </c>
      <c r="F265" s="7" t="s">
        <v>182</v>
      </c>
      <c r="G265" s="7" t="s">
        <v>78</v>
      </c>
      <c r="T265" s="7" t="str">
        <f aca="false">_xlfn.TEXTJOIN( , ,B265,C265)</f>
        <v>electrical_roomSpot Cam - PTZ - 17 spot-cam-ptz.jpg</v>
      </c>
    </row>
    <row r="266" s="7" customFormat="true" ht="15.75" hidden="true" customHeight="true" outlineLevel="0" collapsed="false">
      <c r="A266" s="7" t="s">
        <v>20</v>
      </c>
      <c r="B266" s="7" t="s">
        <v>234</v>
      </c>
      <c r="C266" s="12" t="s">
        <v>56</v>
      </c>
      <c r="D266" s="10" t="s">
        <v>247</v>
      </c>
      <c r="E266" s="13" t="s">
        <v>254</v>
      </c>
      <c r="F266" s="7" t="s">
        <v>182</v>
      </c>
      <c r="G266" s="7" t="s">
        <v>78</v>
      </c>
      <c r="T266" s="7" t="str">
        <f aca="false">_xlfn.TEXTJOIN( , ,B266,C266)</f>
        <v>electrical_roomSpot Cam - PTZ - 17 spot-cam-ptz.jpg</v>
      </c>
    </row>
    <row r="267" s="7" customFormat="true" ht="15.75" hidden="true" customHeight="true" outlineLevel="0" collapsed="false">
      <c r="A267" s="7" t="s">
        <v>20</v>
      </c>
      <c r="B267" s="7" t="s">
        <v>234</v>
      </c>
      <c r="C267" s="12" t="s">
        <v>56</v>
      </c>
      <c r="D267" s="10" t="s">
        <v>247</v>
      </c>
      <c r="E267" s="13" t="s">
        <v>255</v>
      </c>
      <c r="F267" s="7" t="s">
        <v>182</v>
      </c>
      <c r="G267" s="7" t="s">
        <v>78</v>
      </c>
      <c r="T267" s="7" t="str">
        <f aca="false">_xlfn.TEXTJOIN( , ,B267,C267)</f>
        <v>electrical_roomSpot Cam - PTZ - 17 spot-cam-ptz.jpg</v>
      </c>
    </row>
    <row r="268" s="7" customFormat="true" ht="15.75" hidden="true" customHeight="true" outlineLevel="0" collapsed="false">
      <c r="A268" s="7" t="s">
        <v>20</v>
      </c>
      <c r="B268" s="7" t="s">
        <v>234</v>
      </c>
      <c r="C268" s="12" t="s">
        <v>56</v>
      </c>
      <c r="D268" s="10" t="s">
        <v>247</v>
      </c>
      <c r="E268" s="13" t="s">
        <v>256</v>
      </c>
      <c r="F268" s="7" t="s">
        <v>182</v>
      </c>
      <c r="G268" s="7" t="s">
        <v>78</v>
      </c>
      <c r="T268" s="7" t="str">
        <f aca="false">_xlfn.TEXTJOIN( , ,B268,C268)</f>
        <v>electrical_roomSpot Cam - PTZ - 17 spot-cam-ptz.jpg</v>
      </c>
    </row>
    <row r="269" s="7" customFormat="true" ht="15.75" hidden="true" customHeight="true" outlineLevel="0" collapsed="false">
      <c r="A269" s="7" t="s">
        <v>20</v>
      </c>
      <c r="B269" s="7" t="s">
        <v>234</v>
      </c>
      <c r="C269" s="12" t="s">
        <v>56</v>
      </c>
      <c r="D269" s="10" t="s">
        <v>247</v>
      </c>
      <c r="E269" s="13" t="s">
        <v>257</v>
      </c>
      <c r="F269" s="7" t="s">
        <v>182</v>
      </c>
      <c r="G269" s="7" t="s">
        <v>78</v>
      </c>
      <c r="T269" s="7" t="str">
        <f aca="false">_xlfn.TEXTJOIN( , ,B269,C269)</f>
        <v>electrical_roomSpot Cam - PTZ - 17 spot-cam-ptz.jpg</v>
      </c>
    </row>
    <row r="270" s="7" customFormat="true" ht="15.75" hidden="true" customHeight="true" outlineLevel="0" collapsed="false">
      <c r="A270" s="7" t="s">
        <v>20</v>
      </c>
      <c r="B270" s="7" t="s">
        <v>234</v>
      </c>
      <c r="C270" s="12" t="s">
        <v>56</v>
      </c>
      <c r="D270" s="10" t="s">
        <v>247</v>
      </c>
      <c r="E270" s="13" t="s">
        <v>258</v>
      </c>
      <c r="F270" s="7" t="s">
        <v>182</v>
      </c>
      <c r="G270" s="7" t="s">
        <v>78</v>
      </c>
      <c r="T270" s="7" t="str">
        <f aca="false">_xlfn.TEXTJOIN( , ,B270,C270)</f>
        <v>electrical_roomSpot Cam - PTZ - 17 spot-cam-ptz.jpg</v>
      </c>
    </row>
    <row r="271" s="7" customFormat="true" ht="15.75" hidden="true" customHeight="true" outlineLevel="0" collapsed="false">
      <c r="A271" s="7" t="s">
        <v>20</v>
      </c>
      <c r="B271" s="7" t="s">
        <v>234</v>
      </c>
      <c r="C271" s="12" t="s">
        <v>56</v>
      </c>
      <c r="D271" s="10" t="s">
        <v>247</v>
      </c>
      <c r="E271" s="13" t="s">
        <v>259</v>
      </c>
      <c r="F271" s="7" t="s">
        <v>182</v>
      </c>
      <c r="G271" s="7" t="s">
        <v>78</v>
      </c>
      <c r="T271" s="7" t="str">
        <f aca="false">_xlfn.TEXTJOIN( , ,B271,C271)</f>
        <v>electrical_roomSpot Cam - PTZ - 17 spot-cam-ptz.jpg</v>
      </c>
    </row>
    <row r="272" s="7" customFormat="true" ht="15.75" hidden="true" customHeight="true" outlineLevel="0" collapsed="false">
      <c r="A272" s="7" t="s">
        <v>20</v>
      </c>
      <c r="B272" s="7" t="s">
        <v>234</v>
      </c>
      <c r="C272" s="12" t="s">
        <v>56</v>
      </c>
      <c r="D272" s="10" t="s">
        <v>247</v>
      </c>
      <c r="E272" s="13" t="s">
        <v>260</v>
      </c>
      <c r="F272" s="7" t="s">
        <v>182</v>
      </c>
      <c r="G272" s="7" t="s">
        <v>78</v>
      </c>
      <c r="T272" s="7" t="str">
        <f aca="false">_xlfn.TEXTJOIN( , ,B272,C272)</f>
        <v>electrical_roomSpot Cam - PTZ - 17 spot-cam-ptz.jpg</v>
      </c>
    </row>
    <row r="273" s="7" customFormat="true" ht="15.75" hidden="true" customHeight="true" outlineLevel="0" collapsed="false">
      <c r="A273" s="7" t="s">
        <v>20</v>
      </c>
      <c r="B273" s="7" t="s">
        <v>234</v>
      </c>
      <c r="C273" s="12" t="s">
        <v>56</v>
      </c>
      <c r="D273" s="10" t="s">
        <v>247</v>
      </c>
      <c r="E273" s="13" t="s">
        <v>261</v>
      </c>
      <c r="F273" s="7" t="s">
        <v>182</v>
      </c>
      <c r="G273" s="7" t="s">
        <v>78</v>
      </c>
      <c r="T273" s="7" t="str">
        <f aca="false">_xlfn.TEXTJOIN( , ,B273,C273)</f>
        <v>electrical_roomSpot Cam - PTZ - 17 spot-cam-ptz.jpg</v>
      </c>
    </row>
    <row r="274" s="7" customFormat="true" ht="15.75" hidden="true" customHeight="true" outlineLevel="0" collapsed="false">
      <c r="A274" s="7" t="s">
        <v>20</v>
      </c>
      <c r="B274" s="7" t="s">
        <v>234</v>
      </c>
      <c r="C274" s="12" t="s">
        <v>56</v>
      </c>
      <c r="D274" s="10" t="s">
        <v>247</v>
      </c>
      <c r="E274" s="13" t="s">
        <v>86</v>
      </c>
      <c r="F274" s="7" t="s">
        <v>84</v>
      </c>
      <c r="G274" s="7" t="s">
        <v>78</v>
      </c>
      <c r="I274" s="8" t="s">
        <v>241</v>
      </c>
      <c r="J274" s="8" t="s">
        <v>242</v>
      </c>
      <c r="K274" s="8" t="s">
        <v>243</v>
      </c>
      <c r="T274" s="7" t="str">
        <f aca="false">_xlfn.TEXTJOIN( , ,B274,C274)</f>
        <v>electrical_roomSpot Cam - PTZ - 17 spot-cam-ptz.jpg</v>
      </c>
    </row>
    <row r="275" s="7" customFormat="true" ht="15.75" hidden="true" customHeight="true" outlineLevel="0" collapsed="false">
      <c r="A275" s="7" t="s">
        <v>20</v>
      </c>
      <c r="B275" s="7" t="s">
        <v>234</v>
      </c>
      <c r="C275" s="7" t="s">
        <v>56</v>
      </c>
      <c r="D275" s="10" t="s">
        <v>247</v>
      </c>
      <c r="E275" s="10" t="s">
        <v>92</v>
      </c>
      <c r="F275" s="7" t="s">
        <v>93</v>
      </c>
      <c r="G275" s="7" t="s">
        <v>78</v>
      </c>
      <c r="O275" s="8" t="s">
        <v>241</v>
      </c>
      <c r="P275" s="8" t="s">
        <v>242</v>
      </c>
      <c r="Q275" s="8" t="s">
        <v>243</v>
      </c>
      <c r="T275" s="7" t="str">
        <f aca="false">_xlfn.TEXTJOIN( , ,B275,C275)</f>
        <v>electrical_roomSpot Cam - PTZ - 17 spot-cam-ptz.jpg</v>
      </c>
    </row>
    <row r="276" s="7" customFormat="true" ht="15.75" hidden="true" customHeight="true" outlineLevel="0" collapsed="false">
      <c r="A276" s="7" t="s">
        <v>20</v>
      </c>
      <c r="B276" s="7" t="s">
        <v>234</v>
      </c>
      <c r="C276" s="7" t="s">
        <v>108</v>
      </c>
      <c r="D276" s="10" t="s">
        <v>247</v>
      </c>
      <c r="E276" s="7" t="s">
        <v>196</v>
      </c>
      <c r="F276" s="10" t="s">
        <v>197</v>
      </c>
      <c r="G276" s="7" t="s">
        <v>78</v>
      </c>
      <c r="O276" s="8" t="s">
        <v>244</v>
      </c>
      <c r="P276" s="8" t="s">
        <v>245</v>
      </c>
      <c r="Q276" s="7" t="s">
        <v>246</v>
      </c>
      <c r="T276" s="7" t="str">
        <f aca="false">_xlfn.TEXTJOIN( , ,B276,C276)</f>
        <v>electrical_roomSpot Cam - PTZ - 18 spot-cam-ptz.jpg</v>
      </c>
    </row>
    <row r="277" s="7" customFormat="true" ht="15.75" hidden="true" customHeight="true" outlineLevel="0" collapsed="false">
      <c r="A277" s="7" t="s">
        <v>20</v>
      </c>
      <c r="B277" s="7" t="s">
        <v>234</v>
      </c>
      <c r="C277" s="7" t="s">
        <v>108</v>
      </c>
      <c r="D277" s="10" t="s">
        <v>247</v>
      </c>
      <c r="E277" s="7" t="s">
        <v>198</v>
      </c>
      <c r="F277" s="10" t="s">
        <v>197</v>
      </c>
      <c r="G277" s="7" t="s">
        <v>78</v>
      </c>
      <c r="O277" s="8" t="s">
        <v>244</v>
      </c>
      <c r="P277" s="8" t="s">
        <v>245</v>
      </c>
      <c r="Q277" s="7" t="s">
        <v>246</v>
      </c>
      <c r="T277" s="7" t="str">
        <f aca="false">_xlfn.TEXTJOIN( , ,B277,C277)</f>
        <v>electrical_roomSpot Cam - PTZ - 18 spot-cam-ptz.jpg</v>
      </c>
    </row>
    <row r="278" s="7" customFormat="true" ht="15.75" hidden="true" customHeight="true" outlineLevel="0" collapsed="false">
      <c r="A278" s="7" t="s">
        <v>20</v>
      </c>
      <c r="B278" s="7" t="s">
        <v>234</v>
      </c>
      <c r="C278" s="12" t="s">
        <v>262</v>
      </c>
      <c r="D278" s="10" t="s">
        <v>263</v>
      </c>
      <c r="E278" s="13" t="s">
        <v>86</v>
      </c>
      <c r="F278" s="7" t="s">
        <v>84</v>
      </c>
      <c r="G278" s="7" t="s">
        <v>78</v>
      </c>
      <c r="I278" s="8" t="s">
        <v>79</v>
      </c>
      <c r="J278" s="8" t="s">
        <v>80</v>
      </c>
      <c r="K278" s="8" t="s">
        <v>81</v>
      </c>
      <c r="L278" s="10" t="s">
        <v>82</v>
      </c>
      <c r="T278" s="7" t="str">
        <f aca="false">_xlfn.TEXTJOIN( , ,B278,C278)</f>
        <v>electrical_roomSpot Cam - PTZ - 19 spot-cam-ptz.jpg</v>
      </c>
    </row>
    <row r="279" s="7" customFormat="true" ht="15.75" hidden="true" customHeight="true" outlineLevel="0" collapsed="false">
      <c r="A279" s="7" t="s">
        <v>20</v>
      </c>
      <c r="B279" s="7" t="s">
        <v>234</v>
      </c>
      <c r="C279" s="12" t="s">
        <v>262</v>
      </c>
      <c r="D279" s="10" t="s">
        <v>263</v>
      </c>
      <c r="E279" s="13" t="s">
        <v>83</v>
      </c>
      <c r="F279" s="7" t="s">
        <v>84</v>
      </c>
      <c r="G279" s="7" t="s">
        <v>78</v>
      </c>
      <c r="T279" s="7" t="str">
        <f aca="false">_xlfn.TEXTJOIN( , ,B279,C279)</f>
        <v>electrical_roomSpot Cam - PTZ - 19 spot-cam-ptz.jpg</v>
      </c>
    </row>
    <row r="280" s="7" customFormat="true" ht="15.75" hidden="true" customHeight="true" outlineLevel="0" collapsed="false">
      <c r="A280" s="7" t="s">
        <v>20</v>
      </c>
      <c r="B280" s="7" t="s">
        <v>234</v>
      </c>
      <c r="C280" s="12" t="s">
        <v>262</v>
      </c>
      <c r="D280" s="10" t="s">
        <v>263</v>
      </c>
      <c r="E280" s="13" t="s">
        <v>85</v>
      </c>
      <c r="F280" s="7" t="s">
        <v>84</v>
      </c>
      <c r="G280" s="7" t="s">
        <v>78</v>
      </c>
      <c r="T280" s="7" t="str">
        <f aca="false">_xlfn.TEXTJOIN( , ,B280,C280)</f>
        <v>electrical_roomSpot Cam - PTZ - 19 spot-cam-ptz.jpg</v>
      </c>
    </row>
    <row r="281" s="7" customFormat="true" ht="15.75" hidden="true" customHeight="true" outlineLevel="0" collapsed="false">
      <c r="A281" s="7" t="s">
        <v>20</v>
      </c>
      <c r="B281" s="7" t="s">
        <v>234</v>
      </c>
      <c r="C281" s="12" t="s">
        <v>262</v>
      </c>
      <c r="D281" s="10" t="s">
        <v>263</v>
      </c>
      <c r="E281" s="13" t="s">
        <v>154</v>
      </c>
      <c r="F281" s="7" t="s">
        <v>84</v>
      </c>
      <c r="G281" s="7" t="s">
        <v>78</v>
      </c>
      <c r="T281" s="7" t="str">
        <f aca="false">_xlfn.TEXTJOIN( , ,B281,C281)</f>
        <v>electrical_roomSpot Cam - PTZ - 19 spot-cam-ptz.jpg</v>
      </c>
    </row>
    <row r="282" s="7" customFormat="true" ht="15.75" hidden="true" customHeight="true" outlineLevel="0" collapsed="false">
      <c r="A282" s="7" t="s">
        <v>20</v>
      </c>
      <c r="B282" s="7" t="s">
        <v>234</v>
      </c>
      <c r="C282" s="12" t="s">
        <v>262</v>
      </c>
      <c r="D282" s="10" t="s">
        <v>263</v>
      </c>
      <c r="E282" s="13" t="s">
        <v>264</v>
      </c>
      <c r="F282" s="7" t="s">
        <v>84</v>
      </c>
      <c r="G282" s="7" t="s">
        <v>78</v>
      </c>
      <c r="T282" s="7" t="str">
        <f aca="false">_xlfn.TEXTJOIN( , ,B282,C282)</f>
        <v>electrical_roomSpot Cam - PTZ - 19 spot-cam-ptz.jpg</v>
      </c>
    </row>
    <row r="283" s="7" customFormat="true" ht="15.75" hidden="true" customHeight="true" outlineLevel="0" collapsed="false">
      <c r="A283" s="7" t="s">
        <v>20</v>
      </c>
      <c r="B283" s="7" t="s">
        <v>234</v>
      </c>
      <c r="C283" s="7" t="s">
        <v>61</v>
      </c>
      <c r="D283" s="10" t="s">
        <v>265</v>
      </c>
      <c r="E283" s="10" t="s">
        <v>76</v>
      </c>
      <c r="F283" s="7" t="s">
        <v>77</v>
      </c>
      <c r="G283" s="7" t="s">
        <v>78</v>
      </c>
      <c r="O283" s="8" t="s">
        <v>79</v>
      </c>
      <c r="P283" s="8" t="s">
        <v>80</v>
      </c>
      <c r="Q283" s="8" t="s">
        <v>81</v>
      </c>
      <c r="R283" s="10" t="s">
        <v>82</v>
      </c>
      <c r="T283" s="7" t="str">
        <f aca="false">_xlfn.TEXTJOIN( , ,B283,C283)</f>
        <v>electrical_roomSpot Cam - PTZ - 2 spot-cam-ptz.jpg</v>
      </c>
    </row>
    <row r="284" s="7" customFormat="true" ht="15.75" hidden="true" customHeight="true" outlineLevel="0" collapsed="false">
      <c r="A284" s="7" t="s">
        <v>20</v>
      </c>
      <c r="B284" s="7" t="s">
        <v>234</v>
      </c>
      <c r="C284" s="7" t="s">
        <v>61</v>
      </c>
      <c r="D284" s="10" t="s">
        <v>265</v>
      </c>
      <c r="E284" s="7" t="s">
        <v>83</v>
      </c>
      <c r="F284" s="7" t="s">
        <v>84</v>
      </c>
      <c r="G284" s="7" t="s">
        <v>78</v>
      </c>
      <c r="O284" s="8" t="s">
        <v>79</v>
      </c>
      <c r="P284" s="8" t="s">
        <v>80</v>
      </c>
      <c r="Q284" s="8" t="s">
        <v>81</v>
      </c>
      <c r="R284" s="10" t="s">
        <v>82</v>
      </c>
      <c r="T284" s="7" t="str">
        <f aca="false">_xlfn.TEXTJOIN( , ,B284,C284)</f>
        <v>electrical_roomSpot Cam - PTZ - 2 spot-cam-ptz.jpg</v>
      </c>
    </row>
    <row r="285" s="7" customFormat="true" ht="15.75" hidden="true" customHeight="true" outlineLevel="0" collapsed="false">
      <c r="A285" s="7" t="s">
        <v>20</v>
      </c>
      <c r="B285" s="7" t="s">
        <v>234</v>
      </c>
      <c r="C285" s="7" t="s">
        <v>61</v>
      </c>
      <c r="D285" s="10" t="s">
        <v>265</v>
      </c>
      <c r="E285" s="7" t="s">
        <v>85</v>
      </c>
      <c r="F285" s="7" t="s">
        <v>84</v>
      </c>
      <c r="G285" s="7" t="s">
        <v>78</v>
      </c>
      <c r="O285" s="8" t="s">
        <v>79</v>
      </c>
      <c r="P285" s="8" t="s">
        <v>80</v>
      </c>
      <c r="Q285" s="8" t="s">
        <v>81</v>
      </c>
      <c r="R285" s="10" t="s">
        <v>82</v>
      </c>
      <c r="T285" s="7" t="str">
        <f aca="false">_xlfn.TEXTJOIN( , ,B285,C285)</f>
        <v>electrical_roomSpot Cam - PTZ - 2 spot-cam-ptz.jpg</v>
      </c>
    </row>
    <row r="286" s="7" customFormat="true" ht="15.75" hidden="true" customHeight="true" outlineLevel="0" collapsed="false">
      <c r="A286" s="7" t="s">
        <v>20</v>
      </c>
      <c r="B286" s="7" t="s">
        <v>234</v>
      </c>
      <c r="C286" s="7" t="s">
        <v>61</v>
      </c>
      <c r="D286" s="10" t="s">
        <v>265</v>
      </c>
      <c r="E286" s="10" t="s">
        <v>86</v>
      </c>
      <c r="F286" s="7" t="s">
        <v>84</v>
      </c>
      <c r="G286" s="7" t="s">
        <v>78</v>
      </c>
      <c r="I286" s="8" t="s">
        <v>79</v>
      </c>
      <c r="J286" s="8" t="s">
        <v>80</v>
      </c>
      <c r="K286" s="8" t="s">
        <v>81</v>
      </c>
      <c r="L286" s="10" t="s">
        <v>82</v>
      </c>
      <c r="T286" s="7" t="str">
        <f aca="false">_xlfn.TEXTJOIN( , ,B286,C286)</f>
        <v>electrical_roomSpot Cam - PTZ - 2 spot-cam-ptz.jpg</v>
      </c>
    </row>
    <row r="287" s="7" customFormat="true" ht="15.75" hidden="true" customHeight="true" outlineLevel="0" collapsed="false">
      <c r="A287" s="7" t="s">
        <v>20</v>
      </c>
      <c r="B287" s="7" t="s">
        <v>234</v>
      </c>
      <c r="C287" s="7" t="s">
        <v>61</v>
      </c>
      <c r="D287" s="10" t="s">
        <v>265</v>
      </c>
      <c r="E287" s="10" t="s">
        <v>92</v>
      </c>
      <c r="F287" s="7" t="s">
        <v>93</v>
      </c>
      <c r="G287" s="7" t="s">
        <v>78</v>
      </c>
      <c r="O287" s="8" t="s">
        <v>79</v>
      </c>
      <c r="P287" s="8" t="s">
        <v>80</v>
      </c>
      <c r="Q287" s="8" t="s">
        <v>81</v>
      </c>
      <c r="R287" s="10" t="s">
        <v>82</v>
      </c>
      <c r="T287" s="7" t="str">
        <f aca="false">_xlfn.TEXTJOIN( , ,B287,C287)</f>
        <v>electrical_roomSpot Cam - PTZ - 2 spot-cam-ptz.jpg</v>
      </c>
    </row>
    <row r="288" s="7" customFormat="true" ht="15.75" hidden="true" customHeight="true" outlineLevel="0" collapsed="false">
      <c r="A288" s="7" t="s">
        <v>20</v>
      </c>
      <c r="B288" s="7" t="s">
        <v>234</v>
      </c>
      <c r="C288" s="7" t="s">
        <v>61</v>
      </c>
      <c r="D288" s="10" t="s">
        <v>265</v>
      </c>
      <c r="E288" s="10" t="s">
        <v>87</v>
      </c>
      <c r="F288" s="7" t="s">
        <v>88</v>
      </c>
      <c r="G288" s="7" t="s">
        <v>78</v>
      </c>
      <c r="O288" s="8" t="s">
        <v>79</v>
      </c>
      <c r="P288" s="8" t="s">
        <v>80</v>
      </c>
      <c r="Q288" s="8" t="s">
        <v>81</v>
      </c>
      <c r="R288" s="10" t="s">
        <v>82</v>
      </c>
      <c r="T288" s="7" t="str">
        <f aca="false">_xlfn.TEXTJOIN( , ,B288,C288)</f>
        <v>electrical_roomSpot Cam - PTZ - 2 spot-cam-ptz.jpg</v>
      </c>
    </row>
    <row r="289" s="7" customFormat="true" ht="15.75" hidden="true" customHeight="true" outlineLevel="0" collapsed="false">
      <c r="A289" s="7" t="s">
        <v>20</v>
      </c>
      <c r="B289" s="7" t="s">
        <v>234</v>
      </c>
      <c r="C289" s="7" t="s">
        <v>61</v>
      </c>
      <c r="D289" s="10" t="s">
        <v>265</v>
      </c>
      <c r="E289" s="10" t="s">
        <v>89</v>
      </c>
      <c r="F289" s="7" t="s">
        <v>101</v>
      </c>
      <c r="G289" s="7" t="s">
        <v>102</v>
      </c>
      <c r="O289" s="8" t="s">
        <v>79</v>
      </c>
      <c r="P289" s="8" t="s">
        <v>80</v>
      </c>
      <c r="Q289" s="8" t="s">
        <v>81</v>
      </c>
      <c r="R289" s="10" t="s">
        <v>82</v>
      </c>
      <c r="T289" s="7" t="str">
        <f aca="false">_xlfn.TEXTJOIN( , ,B289,C289)</f>
        <v>electrical_roomSpot Cam - PTZ - 2 spot-cam-ptz.jpg</v>
      </c>
    </row>
    <row r="290" s="7" customFormat="true" ht="15.75" hidden="false" customHeight="true" outlineLevel="0" collapsed="false">
      <c r="A290" s="7" t="s">
        <v>20</v>
      </c>
      <c r="B290" s="7" t="s">
        <v>234</v>
      </c>
      <c r="C290" s="7" t="s">
        <v>109</v>
      </c>
      <c r="D290" s="10" t="s">
        <v>263</v>
      </c>
      <c r="E290" s="7" t="s">
        <v>151</v>
      </c>
      <c r="F290" s="7" t="s">
        <v>152</v>
      </c>
      <c r="G290" s="7" t="s">
        <v>44</v>
      </c>
      <c r="O290" s="8" t="s">
        <v>79</v>
      </c>
      <c r="P290" s="8" t="s">
        <v>266</v>
      </c>
      <c r="Q290" s="8" t="s">
        <v>81</v>
      </c>
      <c r="S290" s="11" t="s">
        <v>153</v>
      </c>
      <c r="T290" s="7" t="str">
        <f aca="false">_xlfn.TEXTJOIN( , ,B290,C290)</f>
        <v>electrical_roomSpot Cam - PTZ - 20 spot-cam-ptz.jpg</v>
      </c>
    </row>
    <row r="291" s="7" customFormat="true" ht="15.75" hidden="true" customHeight="true" outlineLevel="0" collapsed="false">
      <c r="A291" s="7" t="s">
        <v>20</v>
      </c>
      <c r="B291" s="7" t="s">
        <v>234</v>
      </c>
      <c r="C291" s="7" t="s">
        <v>109</v>
      </c>
      <c r="D291" s="10" t="s">
        <v>263</v>
      </c>
      <c r="E291" s="7" t="s">
        <v>156</v>
      </c>
      <c r="F291" s="7" t="s">
        <v>94</v>
      </c>
      <c r="G291" s="7" t="s">
        <v>78</v>
      </c>
      <c r="O291" s="8" t="s">
        <v>79</v>
      </c>
      <c r="P291" s="8" t="s">
        <v>80</v>
      </c>
      <c r="Q291" s="8" t="s">
        <v>81</v>
      </c>
      <c r="R291" s="10" t="s">
        <v>82</v>
      </c>
      <c r="T291" s="7" t="str">
        <f aca="false">_xlfn.TEXTJOIN( , ,B291,C291)</f>
        <v>electrical_roomSpot Cam - PTZ - 20 spot-cam-ptz.jpg</v>
      </c>
    </row>
    <row r="292" s="7" customFormat="true" ht="15.75" hidden="true" customHeight="true" outlineLevel="0" collapsed="false">
      <c r="A292" s="7" t="s">
        <v>20</v>
      </c>
      <c r="B292" s="7" t="s">
        <v>234</v>
      </c>
      <c r="C292" s="7" t="s">
        <v>109</v>
      </c>
      <c r="D292" s="10" t="s">
        <v>263</v>
      </c>
      <c r="E292" s="7" t="s">
        <v>157</v>
      </c>
      <c r="F292" s="7" t="s">
        <v>94</v>
      </c>
      <c r="G292" s="7" t="s">
        <v>78</v>
      </c>
      <c r="O292" s="8" t="s">
        <v>79</v>
      </c>
      <c r="P292" s="8" t="s">
        <v>80</v>
      </c>
      <c r="Q292" s="8" t="s">
        <v>81</v>
      </c>
      <c r="R292" s="10" t="s">
        <v>82</v>
      </c>
      <c r="T292" s="7" t="str">
        <f aca="false">_xlfn.TEXTJOIN( , ,B292,C292)</f>
        <v>electrical_roomSpot Cam - PTZ - 20 spot-cam-ptz.jpg</v>
      </c>
    </row>
    <row r="293" s="7" customFormat="true" ht="15.75" hidden="true" customHeight="true" outlineLevel="0" collapsed="false">
      <c r="A293" s="7" t="s">
        <v>20</v>
      </c>
      <c r="B293" s="7" t="s">
        <v>234</v>
      </c>
      <c r="C293" s="7" t="s">
        <v>109</v>
      </c>
      <c r="D293" s="10" t="s">
        <v>263</v>
      </c>
      <c r="E293" s="10" t="s">
        <v>76</v>
      </c>
      <c r="F293" s="7" t="s">
        <v>77</v>
      </c>
      <c r="G293" s="7" t="s">
        <v>78</v>
      </c>
      <c r="O293" s="8" t="s">
        <v>79</v>
      </c>
      <c r="P293" s="8" t="s">
        <v>80</v>
      </c>
      <c r="Q293" s="8" t="s">
        <v>81</v>
      </c>
      <c r="R293" s="10" t="s">
        <v>82</v>
      </c>
      <c r="T293" s="7" t="str">
        <f aca="false">_xlfn.TEXTJOIN( , ,B293,C293)</f>
        <v>electrical_roomSpot Cam - PTZ - 20 spot-cam-ptz.jpg</v>
      </c>
    </row>
    <row r="294" s="7" customFormat="true" ht="15.75" hidden="true" customHeight="true" outlineLevel="0" collapsed="false">
      <c r="A294" s="7" t="s">
        <v>20</v>
      </c>
      <c r="B294" s="7" t="s">
        <v>234</v>
      </c>
      <c r="C294" s="7" t="s">
        <v>109</v>
      </c>
      <c r="D294" s="10" t="s">
        <v>263</v>
      </c>
      <c r="E294" s="10" t="s">
        <v>92</v>
      </c>
      <c r="F294" s="7" t="s">
        <v>93</v>
      </c>
      <c r="G294" s="7" t="s">
        <v>78</v>
      </c>
      <c r="O294" s="8" t="s">
        <v>79</v>
      </c>
      <c r="P294" s="8" t="s">
        <v>80</v>
      </c>
      <c r="Q294" s="8" t="s">
        <v>81</v>
      </c>
      <c r="R294" s="10" t="s">
        <v>82</v>
      </c>
      <c r="T294" s="7" t="str">
        <f aca="false">_xlfn.TEXTJOIN( , ,B294,C294)</f>
        <v>electrical_roomSpot Cam - PTZ - 20 spot-cam-ptz.jpg</v>
      </c>
    </row>
    <row r="295" s="7" customFormat="true" ht="15.75" hidden="true" customHeight="true" outlineLevel="0" collapsed="false">
      <c r="A295" s="7" t="s">
        <v>20</v>
      </c>
      <c r="B295" s="7" t="s">
        <v>234</v>
      </c>
      <c r="C295" s="7" t="s">
        <v>109</v>
      </c>
      <c r="D295" s="10" t="s">
        <v>263</v>
      </c>
      <c r="E295" s="10" t="s">
        <v>87</v>
      </c>
      <c r="F295" s="7" t="s">
        <v>88</v>
      </c>
      <c r="G295" s="7" t="s">
        <v>78</v>
      </c>
      <c r="O295" s="8" t="s">
        <v>79</v>
      </c>
      <c r="P295" s="8" t="s">
        <v>80</v>
      </c>
      <c r="Q295" s="8" t="s">
        <v>81</v>
      </c>
      <c r="R295" s="10" t="s">
        <v>82</v>
      </c>
      <c r="T295" s="7" t="str">
        <f aca="false">_xlfn.TEXTJOIN( , ,B295,C295)</f>
        <v>electrical_roomSpot Cam - PTZ - 20 spot-cam-ptz.jpg</v>
      </c>
    </row>
    <row r="296" s="7" customFormat="true" ht="15.75" hidden="true" customHeight="true" outlineLevel="0" collapsed="false">
      <c r="A296" s="7" t="s">
        <v>20</v>
      </c>
      <c r="B296" s="7" t="s">
        <v>234</v>
      </c>
      <c r="C296" s="7" t="s">
        <v>109</v>
      </c>
      <c r="D296" s="10" t="s">
        <v>263</v>
      </c>
      <c r="E296" s="7" t="s">
        <v>158</v>
      </c>
      <c r="F296" s="7" t="s">
        <v>95</v>
      </c>
      <c r="G296" s="7" t="s">
        <v>78</v>
      </c>
      <c r="O296" s="8" t="s">
        <v>79</v>
      </c>
      <c r="P296" s="8" t="s">
        <v>80</v>
      </c>
      <c r="Q296" s="8" t="s">
        <v>81</v>
      </c>
      <c r="R296" s="10" t="s">
        <v>82</v>
      </c>
      <c r="T296" s="7" t="str">
        <f aca="false">_xlfn.TEXTJOIN( , ,B296,C296)</f>
        <v>electrical_roomSpot Cam - PTZ - 20 spot-cam-ptz.jpg</v>
      </c>
    </row>
    <row r="297" s="7" customFormat="true" ht="15.75" hidden="true" customHeight="true" outlineLevel="0" collapsed="false">
      <c r="A297" s="7" t="s">
        <v>20</v>
      </c>
      <c r="B297" s="7" t="s">
        <v>234</v>
      </c>
      <c r="C297" s="7" t="s">
        <v>109</v>
      </c>
      <c r="D297" s="10" t="s">
        <v>263</v>
      </c>
      <c r="E297" s="7" t="s">
        <v>159</v>
      </c>
      <c r="F297" s="7" t="s">
        <v>95</v>
      </c>
      <c r="G297" s="7" t="s">
        <v>78</v>
      </c>
      <c r="O297" s="8" t="s">
        <v>79</v>
      </c>
      <c r="P297" s="8" t="s">
        <v>80</v>
      </c>
      <c r="Q297" s="8" t="s">
        <v>81</v>
      </c>
      <c r="R297" s="10" t="s">
        <v>82</v>
      </c>
      <c r="T297" s="7" t="str">
        <f aca="false">_xlfn.TEXTJOIN( , ,B297,C297)</f>
        <v>electrical_roomSpot Cam - PTZ - 20 spot-cam-ptz.jpg</v>
      </c>
    </row>
    <row r="298" s="7" customFormat="true" ht="15.75" hidden="true" customHeight="true" outlineLevel="0" collapsed="false">
      <c r="A298" s="7" t="s">
        <v>20</v>
      </c>
      <c r="B298" s="7" t="s">
        <v>234</v>
      </c>
      <c r="C298" s="7" t="s">
        <v>109</v>
      </c>
      <c r="D298" s="10" t="s">
        <v>263</v>
      </c>
      <c r="E298" s="13" t="s">
        <v>89</v>
      </c>
      <c r="F298" s="7" t="s">
        <v>90</v>
      </c>
      <c r="G298" s="7" t="s">
        <v>102</v>
      </c>
      <c r="O298" s="8" t="s">
        <v>79</v>
      </c>
      <c r="P298" s="8" t="s">
        <v>80</v>
      </c>
      <c r="Q298" s="8" t="s">
        <v>81</v>
      </c>
      <c r="R298" s="10" t="s">
        <v>82</v>
      </c>
      <c r="T298" s="7" t="str">
        <f aca="false">_xlfn.TEXTJOIN( , ,B298,C298)</f>
        <v>electrical_roomSpot Cam - PTZ - 20 spot-cam-ptz.jpg</v>
      </c>
    </row>
    <row r="299" s="7" customFormat="true" ht="15.75" hidden="true" customHeight="true" outlineLevel="0" collapsed="false">
      <c r="A299" s="7" t="s">
        <v>20</v>
      </c>
      <c r="B299" s="7" t="s">
        <v>234</v>
      </c>
      <c r="C299" s="7" t="s">
        <v>109</v>
      </c>
      <c r="D299" s="10" t="s">
        <v>263</v>
      </c>
      <c r="E299" s="7" t="s">
        <v>267</v>
      </c>
      <c r="F299" s="7" t="s">
        <v>161</v>
      </c>
      <c r="G299" s="7" t="s">
        <v>102</v>
      </c>
      <c r="O299" s="8" t="s">
        <v>79</v>
      </c>
      <c r="P299" s="8" t="s">
        <v>80</v>
      </c>
      <c r="Q299" s="8" t="s">
        <v>81</v>
      </c>
      <c r="R299" s="10" t="s">
        <v>82</v>
      </c>
      <c r="T299" s="7" t="str">
        <f aca="false">_xlfn.TEXTJOIN( , ,B299,C299)</f>
        <v>electrical_roomSpot Cam - PTZ - 20 spot-cam-ptz.jpg</v>
      </c>
    </row>
    <row r="300" s="7" customFormat="true" ht="15.75" hidden="true" customHeight="true" outlineLevel="0" collapsed="false">
      <c r="A300" s="7" t="s">
        <v>20</v>
      </c>
      <c r="B300" s="7" t="s">
        <v>234</v>
      </c>
      <c r="C300" s="7" t="s">
        <v>109</v>
      </c>
      <c r="D300" s="10" t="s">
        <v>263</v>
      </c>
      <c r="E300" s="7" t="s">
        <v>268</v>
      </c>
      <c r="F300" s="7" t="s">
        <v>161</v>
      </c>
      <c r="G300" s="7" t="s">
        <v>102</v>
      </c>
      <c r="O300" s="8" t="s">
        <v>79</v>
      </c>
      <c r="P300" s="8" t="s">
        <v>80</v>
      </c>
      <c r="Q300" s="8" t="s">
        <v>81</v>
      </c>
      <c r="R300" s="10" t="s">
        <v>82</v>
      </c>
      <c r="T300" s="7" t="str">
        <f aca="false">_xlfn.TEXTJOIN( , ,B300,C300)</f>
        <v>electrical_roomSpot Cam - PTZ - 20 spot-cam-ptz.jpg</v>
      </c>
    </row>
    <row r="301" s="7" customFormat="true" ht="15.75" hidden="true" customHeight="true" outlineLevel="0" collapsed="false">
      <c r="A301" s="7" t="s">
        <v>20</v>
      </c>
      <c r="B301" s="7" t="s">
        <v>234</v>
      </c>
      <c r="C301" s="7" t="s">
        <v>111</v>
      </c>
      <c r="D301" s="10" t="s">
        <v>263</v>
      </c>
      <c r="E301" s="7" t="s">
        <v>164</v>
      </c>
      <c r="F301" s="7" t="s">
        <v>106</v>
      </c>
      <c r="G301" s="7" t="s">
        <v>78</v>
      </c>
      <c r="O301" s="8" t="s">
        <v>79</v>
      </c>
      <c r="P301" s="8" t="s">
        <v>80</v>
      </c>
      <c r="R301" s="10" t="s">
        <v>82</v>
      </c>
      <c r="T301" s="7" t="str">
        <f aca="false">_xlfn.TEXTJOIN( , ,B301,C301)</f>
        <v>electrical_roomSpot Cam - PTZ - 21 spot-cam-ptz.jpg</v>
      </c>
    </row>
    <row r="302" s="7" customFormat="true" ht="15.75" hidden="false" customHeight="true" outlineLevel="0" collapsed="false">
      <c r="A302" s="7" t="s">
        <v>20</v>
      </c>
      <c r="B302" s="7" t="s">
        <v>234</v>
      </c>
      <c r="C302" s="7" t="s">
        <v>113</v>
      </c>
      <c r="D302" s="10" t="s">
        <v>263</v>
      </c>
      <c r="E302" s="7" t="s">
        <v>143</v>
      </c>
      <c r="F302" s="7" t="s">
        <v>143</v>
      </c>
      <c r="G302" s="7" t="s">
        <v>44</v>
      </c>
      <c r="O302" s="8" t="s">
        <v>79</v>
      </c>
      <c r="P302" s="8" t="s">
        <v>266</v>
      </c>
      <c r="Q302" s="8" t="s">
        <v>81</v>
      </c>
      <c r="S302" s="11" t="s">
        <v>145</v>
      </c>
      <c r="T302" s="7" t="str">
        <f aca="false">_xlfn.TEXTJOIN( , ,B302,C302)</f>
        <v>electrical_roomSpot Cam - PTZ - 22 spot-cam-ptz.jpg</v>
      </c>
    </row>
    <row r="303" s="7" customFormat="true" ht="15.75" hidden="true" customHeight="true" outlineLevel="0" collapsed="false">
      <c r="A303" s="7" t="s">
        <v>20</v>
      </c>
      <c r="B303" s="7" t="s">
        <v>234</v>
      </c>
      <c r="C303" s="7" t="s">
        <v>114</v>
      </c>
      <c r="D303" s="10" t="s">
        <v>269</v>
      </c>
      <c r="E303" s="10" t="s">
        <v>76</v>
      </c>
      <c r="F303" s="7" t="s">
        <v>77</v>
      </c>
      <c r="G303" s="7" t="s">
        <v>78</v>
      </c>
      <c r="O303" s="8" t="s">
        <v>79</v>
      </c>
      <c r="P303" s="8" t="s">
        <v>80</v>
      </c>
      <c r="Q303" s="8" t="s">
        <v>81</v>
      </c>
      <c r="R303" s="10" t="s">
        <v>82</v>
      </c>
      <c r="T303" s="7" t="str">
        <f aca="false">_xlfn.TEXTJOIN( , ,B303,C303)</f>
        <v>electrical_roomSpot Cam - PTZ - 23 spot-cam-ptz.jpg</v>
      </c>
    </row>
    <row r="304" s="7" customFormat="true" ht="15.75" hidden="true" customHeight="true" outlineLevel="0" collapsed="false">
      <c r="A304" s="7" t="s">
        <v>20</v>
      </c>
      <c r="B304" s="7" t="s">
        <v>234</v>
      </c>
      <c r="C304" s="7" t="s">
        <v>114</v>
      </c>
      <c r="D304" s="10" t="s">
        <v>269</v>
      </c>
      <c r="E304" s="10" t="s">
        <v>92</v>
      </c>
      <c r="F304" s="7" t="s">
        <v>93</v>
      </c>
      <c r="G304" s="7" t="s">
        <v>78</v>
      </c>
      <c r="O304" s="8" t="s">
        <v>79</v>
      </c>
      <c r="P304" s="8" t="s">
        <v>80</v>
      </c>
      <c r="Q304" s="8" t="s">
        <v>81</v>
      </c>
      <c r="R304" s="10" t="s">
        <v>82</v>
      </c>
      <c r="T304" s="7" t="str">
        <f aca="false">_xlfn.TEXTJOIN( , ,B304,C304)</f>
        <v>electrical_roomSpot Cam - PTZ - 23 spot-cam-ptz.jpg</v>
      </c>
    </row>
    <row r="305" s="7" customFormat="true" ht="15.75" hidden="true" customHeight="true" outlineLevel="0" collapsed="false">
      <c r="A305" s="7" t="s">
        <v>20</v>
      </c>
      <c r="B305" s="7" t="s">
        <v>234</v>
      </c>
      <c r="C305" s="7" t="s">
        <v>114</v>
      </c>
      <c r="D305" s="10" t="s">
        <v>269</v>
      </c>
      <c r="E305" s="10" t="s">
        <v>87</v>
      </c>
      <c r="F305" s="7" t="s">
        <v>88</v>
      </c>
      <c r="G305" s="7" t="s">
        <v>78</v>
      </c>
      <c r="O305" s="8" t="s">
        <v>79</v>
      </c>
      <c r="P305" s="8" t="s">
        <v>80</v>
      </c>
      <c r="Q305" s="8" t="s">
        <v>81</v>
      </c>
      <c r="R305" s="10" t="s">
        <v>82</v>
      </c>
      <c r="T305" s="7" t="str">
        <f aca="false">_xlfn.TEXTJOIN( , ,B305,C305)</f>
        <v>electrical_roomSpot Cam - PTZ - 23 spot-cam-ptz.jpg</v>
      </c>
    </row>
    <row r="306" s="7" customFormat="true" ht="15.75" hidden="true" customHeight="true" outlineLevel="0" collapsed="false">
      <c r="A306" s="7" t="s">
        <v>20</v>
      </c>
      <c r="B306" s="7" t="s">
        <v>234</v>
      </c>
      <c r="C306" s="7" t="s">
        <v>114</v>
      </c>
      <c r="D306" s="10" t="s">
        <v>269</v>
      </c>
      <c r="E306" s="10" t="s">
        <v>89</v>
      </c>
      <c r="F306" s="7" t="s">
        <v>90</v>
      </c>
      <c r="G306" s="7" t="s">
        <v>102</v>
      </c>
      <c r="O306" s="8" t="s">
        <v>79</v>
      </c>
      <c r="P306" s="8" t="s">
        <v>80</v>
      </c>
      <c r="Q306" s="8" t="s">
        <v>81</v>
      </c>
      <c r="R306" s="10" t="s">
        <v>82</v>
      </c>
      <c r="T306" s="7" t="str">
        <f aca="false">_xlfn.TEXTJOIN( , ,B306,C306)</f>
        <v>electrical_roomSpot Cam - PTZ - 23 spot-cam-ptz.jpg</v>
      </c>
    </row>
    <row r="307" s="7" customFormat="true" ht="15.75" hidden="false" customHeight="true" outlineLevel="0" collapsed="false">
      <c r="A307" s="7" t="s">
        <v>20</v>
      </c>
      <c r="B307" s="7" t="s">
        <v>234</v>
      </c>
      <c r="C307" s="7" t="s">
        <v>116</v>
      </c>
      <c r="D307" s="10" t="s">
        <v>270</v>
      </c>
      <c r="E307" s="7" t="s">
        <v>151</v>
      </c>
      <c r="F307" s="10" t="s">
        <v>152</v>
      </c>
      <c r="G307" s="7" t="s">
        <v>44</v>
      </c>
      <c r="O307" s="8" t="s">
        <v>79</v>
      </c>
      <c r="P307" s="8" t="s">
        <v>80</v>
      </c>
      <c r="Q307" s="8" t="s">
        <v>81</v>
      </c>
      <c r="R307" s="10" t="s">
        <v>82</v>
      </c>
      <c r="S307" s="11" t="s">
        <v>153</v>
      </c>
      <c r="T307" s="7" t="str">
        <f aca="false">_xlfn.TEXTJOIN( , ,B307,C307)</f>
        <v>electrical_roomSpot Cam - PTZ - 24 spot-cam-ptz.jpg</v>
      </c>
    </row>
    <row r="308" s="7" customFormat="true" ht="15.75" hidden="true" customHeight="true" outlineLevel="0" collapsed="false">
      <c r="A308" s="7" t="s">
        <v>20</v>
      </c>
      <c r="B308" s="7" t="s">
        <v>234</v>
      </c>
      <c r="C308" s="7" t="s">
        <v>116</v>
      </c>
      <c r="D308" s="10" t="s">
        <v>270</v>
      </c>
      <c r="E308" s="7" t="s">
        <v>156</v>
      </c>
      <c r="F308" s="7" t="s">
        <v>94</v>
      </c>
      <c r="G308" s="7" t="s">
        <v>78</v>
      </c>
      <c r="O308" s="8" t="s">
        <v>79</v>
      </c>
      <c r="P308" s="8" t="s">
        <v>80</v>
      </c>
      <c r="Q308" s="8" t="s">
        <v>81</v>
      </c>
      <c r="R308" s="10" t="s">
        <v>82</v>
      </c>
      <c r="T308" s="7" t="str">
        <f aca="false">_xlfn.TEXTJOIN( , ,B308,C308)</f>
        <v>electrical_roomSpot Cam - PTZ - 24 spot-cam-ptz.jpg</v>
      </c>
    </row>
    <row r="309" s="7" customFormat="true" ht="15.75" hidden="true" customHeight="true" outlineLevel="0" collapsed="false">
      <c r="A309" s="7" t="s">
        <v>20</v>
      </c>
      <c r="B309" s="7" t="s">
        <v>234</v>
      </c>
      <c r="C309" s="7" t="s">
        <v>116</v>
      </c>
      <c r="D309" s="10" t="s">
        <v>270</v>
      </c>
      <c r="E309" s="7" t="s">
        <v>157</v>
      </c>
      <c r="F309" s="7" t="s">
        <v>94</v>
      </c>
      <c r="G309" s="7" t="s">
        <v>78</v>
      </c>
      <c r="O309" s="8" t="s">
        <v>79</v>
      </c>
      <c r="P309" s="8" t="s">
        <v>80</v>
      </c>
      <c r="Q309" s="8" t="s">
        <v>81</v>
      </c>
      <c r="R309" s="10" t="s">
        <v>82</v>
      </c>
      <c r="T309" s="7" t="str">
        <f aca="false">_xlfn.TEXTJOIN( , ,B309,C309)</f>
        <v>electrical_roomSpot Cam - PTZ - 24 spot-cam-ptz.jpg</v>
      </c>
    </row>
    <row r="310" s="7" customFormat="true" ht="15.75" hidden="true" customHeight="true" outlineLevel="0" collapsed="false">
      <c r="A310" s="7" t="s">
        <v>20</v>
      </c>
      <c r="B310" s="7" t="s">
        <v>234</v>
      </c>
      <c r="C310" s="7" t="s">
        <v>116</v>
      </c>
      <c r="D310" s="10" t="s">
        <v>270</v>
      </c>
      <c r="E310" s="10" t="s">
        <v>76</v>
      </c>
      <c r="F310" s="7" t="s">
        <v>77</v>
      </c>
      <c r="G310" s="7" t="s">
        <v>78</v>
      </c>
      <c r="O310" s="8" t="s">
        <v>79</v>
      </c>
      <c r="P310" s="8" t="s">
        <v>80</v>
      </c>
      <c r="Q310" s="8" t="s">
        <v>81</v>
      </c>
      <c r="R310" s="10" t="s">
        <v>82</v>
      </c>
      <c r="T310" s="7" t="str">
        <f aca="false">_xlfn.TEXTJOIN( , ,B310,C310)</f>
        <v>electrical_roomSpot Cam - PTZ - 24 spot-cam-ptz.jpg</v>
      </c>
    </row>
    <row r="311" s="7" customFormat="true" ht="15.75" hidden="true" customHeight="true" outlineLevel="0" collapsed="false">
      <c r="A311" s="7" t="s">
        <v>20</v>
      </c>
      <c r="B311" s="7" t="s">
        <v>234</v>
      </c>
      <c r="C311" s="7" t="s">
        <v>116</v>
      </c>
      <c r="D311" s="10" t="s">
        <v>270</v>
      </c>
      <c r="E311" s="10" t="s">
        <v>83</v>
      </c>
      <c r="F311" s="7" t="s">
        <v>84</v>
      </c>
      <c r="G311" s="7" t="s">
        <v>78</v>
      </c>
      <c r="O311" s="8" t="s">
        <v>79</v>
      </c>
      <c r="P311" s="8" t="s">
        <v>80</v>
      </c>
      <c r="Q311" s="8" t="s">
        <v>81</v>
      </c>
      <c r="R311" s="10" t="s">
        <v>82</v>
      </c>
      <c r="T311" s="7" t="str">
        <f aca="false">_xlfn.TEXTJOIN( , ,B311,C311)</f>
        <v>electrical_roomSpot Cam - PTZ - 24 spot-cam-ptz.jpg</v>
      </c>
    </row>
    <row r="312" s="7" customFormat="true" ht="15.75" hidden="true" customHeight="true" outlineLevel="0" collapsed="false">
      <c r="A312" s="7" t="s">
        <v>20</v>
      </c>
      <c r="B312" s="7" t="s">
        <v>234</v>
      </c>
      <c r="C312" s="7" t="s">
        <v>116</v>
      </c>
      <c r="D312" s="10" t="s">
        <v>270</v>
      </c>
      <c r="E312" s="10" t="s">
        <v>85</v>
      </c>
      <c r="F312" s="7" t="s">
        <v>84</v>
      </c>
      <c r="G312" s="7" t="s">
        <v>78</v>
      </c>
      <c r="I312" s="8" t="s">
        <v>79</v>
      </c>
      <c r="J312" s="8" t="s">
        <v>80</v>
      </c>
      <c r="K312" s="8" t="s">
        <v>81</v>
      </c>
      <c r="L312" s="10" t="s">
        <v>82</v>
      </c>
      <c r="T312" s="7" t="str">
        <f aca="false">_xlfn.TEXTJOIN( , ,B312,C312)</f>
        <v>electrical_roomSpot Cam - PTZ - 24 spot-cam-ptz.jpg</v>
      </c>
    </row>
    <row r="313" s="7" customFormat="true" ht="15.75" hidden="true" customHeight="true" outlineLevel="0" collapsed="false">
      <c r="A313" s="7" t="s">
        <v>20</v>
      </c>
      <c r="B313" s="7" t="s">
        <v>234</v>
      </c>
      <c r="C313" s="7" t="s">
        <v>116</v>
      </c>
      <c r="D313" s="10" t="s">
        <v>270</v>
      </c>
      <c r="E313" s="10" t="s">
        <v>154</v>
      </c>
      <c r="F313" s="7" t="s">
        <v>84</v>
      </c>
      <c r="G313" s="7" t="s">
        <v>78</v>
      </c>
      <c r="I313" s="8" t="s">
        <v>79</v>
      </c>
      <c r="J313" s="8" t="s">
        <v>80</v>
      </c>
      <c r="K313" s="8" t="s">
        <v>81</v>
      </c>
      <c r="L313" s="10" t="s">
        <v>82</v>
      </c>
      <c r="T313" s="7" t="str">
        <f aca="false">_xlfn.TEXTJOIN( , ,B313,C313)</f>
        <v>electrical_roomSpot Cam - PTZ - 24 spot-cam-ptz.jpg</v>
      </c>
    </row>
    <row r="314" s="7" customFormat="true" ht="15.75" hidden="true" customHeight="true" outlineLevel="0" collapsed="false">
      <c r="A314" s="7" t="s">
        <v>20</v>
      </c>
      <c r="B314" s="7" t="s">
        <v>234</v>
      </c>
      <c r="C314" s="7" t="s">
        <v>116</v>
      </c>
      <c r="D314" s="10" t="s">
        <v>270</v>
      </c>
      <c r="E314" s="10" t="s">
        <v>86</v>
      </c>
      <c r="F314" s="7" t="s">
        <v>84</v>
      </c>
      <c r="G314" s="7" t="s">
        <v>78</v>
      </c>
      <c r="I314" s="8" t="s">
        <v>79</v>
      </c>
      <c r="J314" s="8" t="s">
        <v>80</v>
      </c>
      <c r="K314" s="8" t="s">
        <v>81</v>
      </c>
      <c r="L314" s="10" t="s">
        <v>82</v>
      </c>
      <c r="T314" s="7" t="str">
        <f aca="false">_xlfn.TEXTJOIN( , ,B314,C314)</f>
        <v>electrical_roomSpot Cam - PTZ - 24 spot-cam-ptz.jpg</v>
      </c>
    </row>
    <row r="315" s="7" customFormat="true" ht="15.75" hidden="true" customHeight="true" outlineLevel="0" collapsed="false">
      <c r="A315" s="7" t="s">
        <v>20</v>
      </c>
      <c r="B315" s="7" t="s">
        <v>234</v>
      </c>
      <c r="C315" s="7" t="s">
        <v>116</v>
      </c>
      <c r="D315" s="10" t="s">
        <v>270</v>
      </c>
      <c r="E315" s="10" t="s">
        <v>92</v>
      </c>
      <c r="F315" s="7" t="s">
        <v>93</v>
      </c>
      <c r="G315" s="7" t="s">
        <v>78</v>
      </c>
      <c r="O315" s="8" t="s">
        <v>79</v>
      </c>
      <c r="P315" s="8" t="s">
        <v>80</v>
      </c>
      <c r="Q315" s="8" t="s">
        <v>81</v>
      </c>
      <c r="R315" s="10" t="s">
        <v>82</v>
      </c>
      <c r="T315" s="7" t="str">
        <f aca="false">_xlfn.TEXTJOIN( , ,B315,C315)</f>
        <v>electrical_roomSpot Cam - PTZ - 24 spot-cam-ptz.jpg</v>
      </c>
    </row>
    <row r="316" s="7" customFormat="true" ht="15.75" hidden="true" customHeight="true" outlineLevel="0" collapsed="false">
      <c r="A316" s="7" t="s">
        <v>20</v>
      </c>
      <c r="B316" s="7" t="s">
        <v>234</v>
      </c>
      <c r="C316" s="7" t="s">
        <v>116</v>
      </c>
      <c r="D316" s="10" t="s">
        <v>270</v>
      </c>
      <c r="E316" s="10" t="s">
        <v>87</v>
      </c>
      <c r="F316" s="7" t="s">
        <v>88</v>
      </c>
      <c r="G316" s="7" t="s">
        <v>78</v>
      </c>
      <c r="O316" s="8" t="s">
        <v>79</v>
      </c>
      <c r="P316" s="8" t="s">
        <v>80</v>
      </c>
      <c r="Q316" s="8" t="s">
        <v>81</v>
      </c>
      <c r="R316" s="10" t="s">
        <v>82</v>
      </c>
      <c r="T316" s="7" t="str">
        <f aca="false">_xlfn.TEXTJOIN( , ,B316,C316)</f>
        <v>electrical_roomSpot Cam - PTZ - 24 spot-cam-ptz.jpg</v>
      </c>
    </row>
    <row r="317" s="7" customFormat="true" ht="15.75" hidden="true" customHeight="true" outlineLevel="0" collapsed="false">
      <c r="A317" s="7" t="s">
        <v>20</v>
      </c>
      <c r="B317" s="7" t="s">
        <v>234</v>
      </c>
      <c r="C317" s="7" t="s">
        <v>116</v>
      </c>
      <c r="D317" s="10" t="s">
        <v>270</v>
      </c>
      <c r="E317" s="7" t="s">
        <v>158</v>
      </c>
      <c r="F317" s="7" t="s">
        <v>95</v>
      </c>
      <c r="G317" s="7" t="s">
        <v>78</v>
      </c>
      <c r="O317" s="8" t="s">
        <v>79</v>
      </c>
      <c r="P317" s="8" t="s">
        <v>80</v>
      </c>
      <c r="Q317" s="8" t="s">
        <v>81</v>
      </c>
      <c r="R317" s="10" t="s">
        <v>82</v>
      </c>
      <c r="T317" s="7" t="str">
        <f aca="false">_xlfn.TEXTJOIN( , ,B317,C317)</f>
        <v>electrical_roomSpot Cam - PTZ - 24 spot-cam-ptz.jpg</v>
      </c>
    </row>
    <row r="318" s="7" customFormat="true" ht="15.75" hidden="true" customHeight="true" outlineLevel="0" collapsed="false">
      <c r="A318" s="7" t="s">
        <v>20</v>
      </c>
      <c r="B318" s="7" t="s">
        <v>234</v>
      </c>
      <c r="C318" s="7" t="s">
        <v>116</v>
      </c>
      <c r="D318" s="10" t="s">
        <v>270</v>
      </c>
      <c r="E318" s="7" t="s">
        <v>159</v>
      </c>
      <c r="F318" s="7" t="s">
        <v>95</v>
      </c>
      <c r="G318" s="7" t="s">
        <v>78</v>
      </c>
      <c r="O318" s="8" t="s">
        <v>79</v>
      </c>
      <c r="P318" s="8" t="s">
        <v>80</v>
      </c>
      <c r="Q318" s="8" t="s">
        <v>81</v>
      </c>
      <c r="R318" s="10" t="s">
        <v>82</v>
      </c>
      <c r="T318" s="7" t="str">
        <f aca="false">_xlfn.TEXTJOIN( , ,B318,C318)</f>
        <v>electrical_roomSpot Cam - PTZ - 24 spot-cam-ptz.jpg</v>
      </c>
    </row>
    <row r="319" s="7" customFormat="true" ht="15.75" hidden="true" customHeight="true" outlineLevel="0" collapsed="false">
      <c r="A319" s="7" t="s">
        <v>20</v>
      </c>
      <c r="B319" s="7" t="s">
        <v>234</v>
      </c>
      <c r="C319" s="7" t="s">
        <v>116</v>
      </c>
      <c r="D319" s="10" t="s">
        <v>270</v>
      </c>
      <c r="E319" s="10" t="s">
        <v>89</v>
      </c>
      <c r="F319" s="7" t="s">
        <v>90</v>
      </c>
      <c r="G319" s="7" t="s">
        <v>102</v>
      </c>
      <c r="O319" s="8" t="s">
        <v>79</v>
      </c>
      <c r="P319" s="8" t="s">
        <v>80</v>
      </c>
      <c r="Q319" s="8" t="s">
        <v>81</v>
      </c>
      <c r="R319" s="10" t="s">
        <v>82</v>
      </c>
      <c r="T319" s="7" t="str">
        <f aca="false">_xlfn.TEXTJOIN( , ,B319,C319)</f>
        <v>electrical_roomSpot Cam - PTZ - 24 spot-cam-ptz.jpg</v>
      </c>
    </row>
    <row r="320" s="7" customFormat="true" ht="15.75" hidden="true" customHeight="true" outlineLevel="0" collapsed="false">
      <c r="A320" s="7" t="s">
        <v>20</v>
      </c>
      <c r="B320" s="7" t="s">
        <v>234</v>
      </c>
      <c r="C320" s="7" t="s">
        <v>116</v>
      </c>
      <c r="D320" s="10" t="s">
        <v>270</v>
      </c>
      <c r="E320" s="7" t="s">
        <v>160</v>
      </c>
      <c r="F320" s="7" t="s">
        <v>161</v>
      </c>
      <c r="G320" s="7" t="s">
        <v>102</v>
      </c>
      <c r="O320" s="8" t="s">
        <v>79</v>
      </c>
      <c r="P320" s="8" t="s">
        <v>80</v>
      </c>
      <c r="Q320" s="8" t="s">
        <v>81</v>
      </c>
      <c r="R320" s="10" t="s">
        <v>82</v>
      </c>
      <c r="T320" s="7" t="str">
        <f aca="false">_xlfn.TEXTJOIN( , ,B320,C320)</f>
        <v>electrical_roomSpot Cam - PTZ - 24 spot-cam-ptz.jpg</v>
      </c>
    </row>
    <row r="321" s="7" customFormat="true" ht="15.75" hidden="true" customHeight="true" outlineLevel="0" collapsed="false">
      <c r="A321" s="7" t="s">
        <v>20</v>
      </c>
      <c r="B321" s="7" t="s">
        <v>234</v>
      </c>
      <c r="C321" s="7" t="s">
        <v>116</v>
      </c>
      <c r="D321" s="10" t="s">
        <v>270</v>
      </c>
      <c r="E321" s="7" t="s">
        <v>162</v>
      </c>
      <c r="F321" s="7" t="s">
        <v>161</v>
      </c>
      <c r="G321" s="7" t="s">
        <v>102</v>
      </c>
      <c r="O321" s="8" t="s">
        <v>79</v>
      </c>
      <c r="P321" s="8" t="s">
        <v>80</v>
      </c>
      <c r="Q321" s="8" t="s">
        <v>81</v>
      </c>
      <c r="R321" s="10" t="s">
        <v>82</v>
      </c>
      <c r="T321" s="7" t="str">
        <f aca="false">_xlfn.TEXTJOIN( , ,B321,C321)</f>
        <v>electrical_roomSpot Cam - PTZ - 24 spot-cam-ptz.jpg</v>
      </c>
    </row>
    <row r="322" s="7" customFormat="true" ht="15.75" hidden="true" customHeight="true" outlineLevel="0" collapsed="false">
      <c r="A322" s="7" t="s">
        <v>20</v>
      </c>
      <c r="B322" s="7" t="s">
        <v>234</v>
      </c>
      <c r="C322" s="7" t="s">
        <v>118</v>
      </c>
      <c r="D322" s="10" t="s">
        <v>270</v>
      </c>
      <c r="E322" s="7" t="s">
        <v>164</v>
      </c>
      <c r="F322" s="7" t="s">
        <v>106</v>
      </c>
      <c r="G322" s="7" t="s">
        <v>78</v>
      </c>
      <c r="O322" s="8" t="s">
        <v>79</v>
      </c>
      <c r="P322" s="8" t="s">
        <v>80</v>
      </c>
      <c r="Q322" s="8" t="s">
        <v>81</v>
      </c>
      <c r="R322" s="10" t="s">
        <v>82</v>
      </c>
      <c r="T322" s="7" t="str">
        <f aca="false">_xlfn.TEXTJOIN( , ,B322,C322)</f>
        <v>electrical_roomSpot Cam - PTZ - 25 spot-cam-ptz.jpg</v>
      </c>
    </row>
    <row r="323" s="7" customFormat="true" ht="15.75" hidden="true" customHeight="true" outlineLevel="0" collapsed="false">
      <c r="A323" s="7" t="s">
        <v>20</v>
      </c>
      <c r="B323" s="7" t="s">
        <v>234</v>
      </c>
      <c r="C323" s="7" t="s">
        <v>271</v>
      </c>
      <c r="D323" s="10" t="s">
        <v>272</v>
      </c>
      <c r="E323" s="7" t="s">
        <v>273</v>
      </c>
      <c r="F323" s="7" t="s">
        <v>274</v>
      </c>
      <c r="G323" s="7" t="s">
        <v>78</v>
      </c>
      <c r="O323" s="8" t="s">
        <v>79</v>
      </c>
      <c r="P323" s="8" t="s">
        <v>80</v>
      </c>
      <c r="Q323" s="8" t="s">
        <v>81</v>
      </c>
      <c r="R323" s="10" t="s">
        <v>82</v>
      </c>
      <c r="T323" s="7" t="str">
        <f aca="false">_xlfn.TEXTJOIN( , ,B323,C323)</f>
        <v>electrical_roomSpot Cam - PTZ - 26 spot-cam-ptz.jpg</v>
      </c>
    </row>
    <row r="324" s="7" customFormat="true" ht="15.75" hidden="true" customHeight="true" outlineLevel="0" collapsed="false">
      <c r="A324" s="7" t="s">
        <v>20</v>
      </c>
      <c r="B324" s="7" t="s">
        <v>234</v>
      </c>
      <c r="C324" s="7" t="s">
        <v>271</v>
      </c>
      <c r="D324" s="10" t="s">
        <v>272</v>
      </c>
      <c r="E324" s="10" t="s">
        <v>92</v>
      </c>
      <c r="F324" s="7" t="s">
        <v>93</v>
      </c>
      <c r="G324" s="7" t="s">
        <v>78</v>
      </c>
      <c r="O324" s="8" t="s">
        <v>79</v>
      </c>
      <c r="P324" s="8" t="s">
        <v>80</v>
      </c>
      <c r="Q324" s="8" t="s">
        <v>81</v>
      </c>
      <c r="R324" s="10" t="s">
        <v>82</v>
      </c>
      <c r="T324" s="7" t="str">
        <f aca="false">_xlfn.TEXTJOIN( , ,B324,C324)</f>
        <v>electrical_roomSpot Cam - PTZ - 26 spot-cam-ptz.jpg</v>
      </c>
    </row>
    <row r="325" s="7" customFormat="true" ht="15.75" hidden="true" customHeight="true" outlineLevel="0" collapsed="false">
      <c r="A325" s="7" t="s">
        <v>20</v>
      </c>
      <c r="B325" s="7" t="s">
        <v>234</v>
      </c>
      <c r="C325" s="7" t="s">
        <v>119</v>
      </c>
      <c r="D325" s="10" t="s">
        <v>275</v>
      </c>
      <c r="E325" s="10" t="s">
        <v>76</v>
      </c>
      <c r="F325" s="7" t="s">
        <v>77</v>
      </c>
      <c r="G325" s="7" t="s">
        <v>78</v>
      </c>
      <c r="O325" s="8" t="s">
        <v>79</v>
      </c>
      <c r="P325" s="8" t="s">
        <v>80</v>
      </c>
      <c r="Q325" s="8" t="s">
        <v>81</v>
      </c>
      <c r="R325" s="10" t="s">
        <v>82</v>
      </c>
      <c r="T325" s="7" t="str">
        <f aca="false">_xlfn.TEXTJOIN( , ,B325,C325)</f>
        <v>electrical_roomSpot Cam - PTZ - 27 spot-cam-ptz.jpg</v>
      </c>
    </row>
    <row r="326" s="7" customFormat="true" ht="15.75" hidden="true" customHeight="true" outlineLevel="0" collapsed="false">
      <c r="A326" s="7" t="s">
        <v>20</v>
      </c>
      <c r="B326" s="7" t="s">
        <v>234</v>
      </c>
      <c r="C326" s="7" t="s">
        <v>119</v>
      </c>
      <c r="D326" s="10" t="s">
        <v>275</v>
      </c>
      <c r="E326" s="10" t="s">
        <v>87</v>
      </c>
      <c r="F326" s="7" t="s">
        <v>88</v>
      </c>
      <c r="G326" s="7" t="s">
        <v>78</v>
      </c>
      <c r="O326" s="8" t="s">
        <v>79</v>
      </c>
      <c r="P326" s="8" t="s">
        <v>80</v>
      </c>
      <c r="Q326" s="8" t="s">
        <v>81</v>
      </c>
      <c r="R326" s="10" t="s">
        <v>82</v>
      </c>
      <c r="T326" s="7" t="str">
        <f aca="false">_xlfn.TEXTJOIN( , ,B326,C326)</f>
        <v>electrical_roomSpot Cam - PTZ - 27 spot-cam-ptz.jpg</v>
      </c>
    </row>
    <row r="327" s="7" customFormat="true" ht="15.75" hidden="true" customHeight="true" outlineLevel="0" collapsed="false">
      <c r="A327" s="7" t="s">
        <v>20</v>
      </c>
      <c r="B327" s="7" t="s">
        <v>234</v>
      </c>
      <c r="C327" s="7" t="s">
        <v>119</v>
      </c>
      <c r="D327" s="10" t="s">
        <v>275</v>
      </c>
      <c r="E327" s="10" t="s">
        <v>276</v>
      </c>
      <c r="F327" s="7" t="s">
        <v>90</v>
      </c>
      <c r="G327" s="7" t="s">
        <v>102</v>
      </c>
      <c r="O327" s="8" t="s">
        <v>79</v>
      </c>
      <c r="P327" s="8" t="s">
        <v>80</v>
      </c>
      <c r="Q327" s="8" t="s">
        <v>81</v>
      </c>
      <c r="R327" s="10" t="s">
        <v>82</v>
      </c>
      <c r="T327" s="7" t="str">
        <f aca="false">_xlfn.TEXTJOIN( , ,B327,C327)</f>
        <v>electrical_roomSpot Cam - PTZ - 27 spot-cam-ptz.jpg</v>
      </c>
    </row>
    <row r="328" s="7" customFormat="true" ht="15.75" hidden="false" customHeight="true" outlineLevel="0" collapsed="false">
      <c r="A328" s="7" t="s">
        <v>20</v>
      </c>
      <c r="B328" s="7" t="s">
        <v>234</v>
      </c>
      <c r="C328" s="7" t="s">
        <v>121</v>
      </c>
      <c r="D328" s="10" t="s">
        <v>277</v>
      </c>
      <c r="E328" s="7" t="s">
        <v>143</v>
      </c>
      <c r="F328" s="7" t="s">
        <v>143</v>
      </c>
      <c r="G328" s="7" t="s">
        <v>44</v>
      </c>
      <c r="O328" s="8" t="s">
        <v>79</v>
      </c>
      <c r="P328" s="8" t="s">
        <v>80</v>
      </c>
      <c r="Q328" s="8" t="s">
        <v>81</v>
      </c>
      <c r="R328" s="10" t="s">
        <v>82</v>
      </c>
      <c r="S328" s="11" t="s">
        <v>145</v>
      </c>
      <c r="T328" s="7" t="str">
        <f aca="false">_xlfn.TEXTJOIN( , ,B328,C328)</f>
        <v>electrical_roomSpot Cam - PTZ - 28 spot-cam-ptz.jpg</v>
      </c>
    </row>
    <row r="329" s="7" customFormat="true" ht="15.75" hidden="true" customHeight="true" outlineLevel="0" collapsed="false">
      <c r="A329" s="7" t="s">
        <v>20</v>
      </c>
      <c r="B329" s="7" t="s">
        <v>234</v>
      </c>
      <c r="C329" s="7" t="s">
        <v>125</v>
      </c>
      <c r="D329" s="10" t="s">
        <v>277</v>
      </c>
      <c r="E329" s="10" t="s">
        <v>76</v>
      </c>
      <c r="F329" s="7" t="s">
        <v>77</v>
      </c>
      <c r="G329" s="7" t="s">
        <v>78</v>
      </c>
      <c r="O329" s="8" t="s">
        <v>79</v>
      </c>
      <c r="P329" s="8" t="s">
        <v>80</v>
      </c>
      <c r="Q329" s="8" t="s">
        <v>81</v>
      </c>
      <c r="R329" s="10" t="s">
        <v>82</v>
      </c>
      <c r="T329" s="7" t="str">
        <f aca="false">_xlfn.TEXTJOIN( , ,B329,C329)</f>
        <v>electrical_roomSpot Cam - PTZ - 29 spot-cam-ptz.jpg</v>
      </c>
    </row>
    <row r="330" s="7" customFormat="true" ht="15.75" hidden="true" customHeight="true" outlineLevel="0" collapsed="false">
      <c r="A330" s="7" t="s">
        <v>20</v>
      </c>
      <c r="B330" s="7" t="s">
        <v>234</v>
      </c>
      <c r="C330" s="7" t="s">
        <v>125</v>
      </c>
      <c r="D330" s="10" t="s">
        <v>277</v>
      </c>
      <c r="E330" s="10" t="s">
        <v>92</v>
      </c>
      <c r="F330" s="7" t="s">
        <v>93</v>
      </c>
      <c r="G330" s="7" t="s">
        <v>78</v>
      </c>
      <c r="O330" s="8" t="s">
        <v>79</v>
      </c>
      <c r="P330" s="8" t="s">
        <v>80</v>
      </c>
      <c r="Q330" s="8" t="s">
        <v>81</v>
      </c>
      <c r="R330" s="10" t="s">
        <v>82</v>
      </c>
      <c r="T330" s="7" t="str">
        <f aca="false">_xlfn.TEXTJOIN( , ,B330,C330)</f>
        <v>electrical_roomSpot Cam - PTZ - 29 spot-cam-ptz.jpg</v>
      </c>
    </row>
    <row r="331" s="7" customFormat="true" ht="15.75" hidden="true" customHeight="true" outlineLevel="0" collapsed="false">
      <c r="A331" s="7" t="s">
        <v>20</v>
      </c>
      <c r="B331" s="7" t="s">
        <v>234</v>
      </c>
      <c r="C331" s="7" t="s">
        <v>125</v>
      </c>
      <c r="D331" s="10" t="s">
        <v>277</v>
      </c>
      <c r="E331" s="10" t="s">
        <v>87</v>
      </c>
      <c r="F331" s="7" t="s">
        <v>88</v>
      </c>
      <c r="G331" s="7" t="s">
        <v>78</v>
      </c>
      <c r="O331" s="8" t="s">
        <v>79</v>
      </c>
      <c r="P331" s="8" t="s">
        <v>80</v>
      </c>
      <c r="Q331" s="8" t="s">
        <v>81</v>
      </c>
      <c r="R331" s="10" t="s">
        <v>82</v>
      </c>
      <c r="T331" s="7" t="str">
        <f aca="false">_xlfn.TEXTJOIN( , ,B331,C331)</f>
        <v>electrical_roomSpot Cam - PTZ - 29 spot-cam-ptz.jpg</v>
      </c>
    </row>
    <row r="332" s="7" customFormat="true" ht="15.75" hidden="true" customHeight="true" outlineLevel="0" collapsed="false">
      <c r="A332" s="7" t="s">
        <v>20</v>
      </c>
      <c r="B332" s="7" t="s">
        <v>234</v>
      </c>
      <c r="C332" s="7" t="s">
        <v>125</v>
      </c>
      <c r="D332" s="10" t="s">
        <v>277</v>
      </c>
      <c r="E332" s="10" t="s">
        <v>278</v>
      </c>
      <c r="F332" s="7" t="s">
        <v>101</v>
      </c>
      <c r="G332" s="7" t="s">
        <v>102</v>
      </c>
      <c r="O332" s="8" t="s">
        <v>79</v>
      </c>
      <c r="P332" s="8" t="s">
        <v>80</v>
      </c>
      <c r="Q332" s="8" t="s">
        <v>81</v>
      </c>
      <c r="R332" s="10" t="s">
        <v>82</v>
      </c>
      <c r="T332" s="7" t="str">
        <f aca="false">_xlfn.TEXTJOIN( , ,B332,C332)</f>
        <v>electrical_roomSpot Cam - PTZ - 29 spot-cam-ptz.jpg</v>
      </c>
    </row>
    <row r="333" s="7" customFormat="true" ht="15.75" hidden="false" customHeight="true" outlineLevel="0" collapsed="false">
      <c r="A333" s="7" t="s">
        <v>20</v>
      </c>
      <c r="B333" s="7" t="s">
        <v>234</v>
      </c>
      <c r="C333" s="7" t="s">
        <v>62</v>
      </c>
      <c r="D333" s="10" t="s">
        <v>279</v>
      </c>
      <c r="E333" s="7" t="s">
        <v>151</v>
      </c>
      <c r="F333" s="7" t="s">
        <v>152</v>
      </c>
      <c r="G333" s="7" t="s">
        <v>44</v>
      </c>
      <c r="O333" s="9" t="s">
        <v>280</v>
      </c>
      <c r="P333" s="8" t="s">
        <v>266</v>
      </c>
      <c r="Q333" s="8" t="s">
        <v>81</v>
      </c>
      <c r="R333" s="10" t="s">
        <v>281</v>
      </c>
      <c r="S333" s="11" t="s">
        <v>153</v>
      </c>
      <c r="T333" s="7" t="str">
        <f aca="false">_xlfn.TEXTJOIN( , ,B333,C333)</f>
        <v>electrical_roomSpot Cam - PTZ - 3 spot-cam-ptz.jpg</v>
      </c>
    </row>
    <row r="334" s="7" customFormat="true" ht="15.75" hidden="true" customHeight="true" outlineLevel="0" collapsed="false">
      <c r="A334" s="7" t="s">
        <v>20</v>
      </c>
      <c r="B334" s="7" t="s">
        <v>234</v>
      </c>
      <c r="C334" s="7" t="s">
        <v>62</v>
      </c>
      <c r="D334" s="10" t="s">
        <v>279</v>
      </c>
      <c r="E334" s="10" t="s">
        <v>76</v>
      </c>
      <c r="F334" s="7" t="s">
        <v>77</v>
      </c>
      <c r="G334" s="7" t="s">
        <v>78</v>
      </c>
      <c r="O334" s="8" t="s">
        <v>79</v>
      </c>
      <c r="P334" s="8" t="s">
        <v>80</v>
      </c>
      <c r="Q334" s="8" t="s">
        <v>81</v>
      </c>
      <c r="R334" s="10" t="s">
        <v>82</v>
      </c>
      <c r="T334" s="7" t="str">
        <f aca="false">_xlfn.TEXTJOIN( , ,B334,C334)</f>
        <v>electrical_roomSpot Cam - PTZ - 3 spot-cam-ptz.jpg</v>
      </c>
    </row>
    <row r="335" s="7" customFormat="true" ht="15.75" hidden="true" customHeight="true" outlineLevel="0" collapsed="false">
      <c r="A335" s="7" t="s">
        <v>20</v>
      </c>
      <c r="B335" s="7" t="s">
        <v>234</v>
      </c>
      <c r="C335" s="7" t="s">
        <v>62</v>
      </c>
      <c r="D335" s="10" t="s">
        <v>279</v>
      </c>
      <c r="E335" s="7" t="s">
        <v>92</v>
      </c>
      <c r="F335" s="7" t="s">
        <v>93</v>
      </c>
      <c r="G335" s="7" t="s">
        <v>78</v>
      </c>
      <c r="O335" s="8" t="s">
        <v>79</v>
      </c>
      <c r="P335" s="8" t="s">
        <v>80</v>
      </c>
      <c r="Q335" s="8" t="s">
        <v>81</v>
      </c>
      <c r="R335" s="10" t="s">
        <v>82</v>
      </c>
      <c r="T335" s="7" t="str">
        <f aca="false">_xlfn.TEXTJOIN( , ,B335,C335)</f>
        <v>electrical_roomSpot Cam - PTZ - 3 spot-cam-ptz.jpg</v>
      </c>
    </row>
    <row r="336" s="7" customFormat="true" ht="15.75" hidden="true" customHeight="true" outlineLevel="0" collapsed="false">
      <c r="A336" s="7" t="s">
        <v>20</v>
      </c>
      <c r="B336" s="7" t="s">
        <v>234</v>
      </c>
      <c r="C336" s="7" t="s">
        <v>62</v>
      </c>
      <c r="D336" s="10" t="s">
        <v>279</v>
      </c>
      <c r="E336" s="10" t="s">
        <v>87</v>
      </c>
      <c r="F336" s="7" t="s">
        <v>88</v>
      </c>
      <c r="G336" s="7" t="s">
        <v>78</v>
      </c>
      <c r="O336" s="8" t="s">
        <v>79</v>
      </c>
      <c r="P336" s="8" t="s">
        <v>80</v>
      </c>
      <c r="Q336" s="8" t="s">
        <v>81</v>
      </c>
      <c r="R336" s="10" t="s">
        <v>82</v>
      </c>
      <c r="T336" s="7" t="str">
        <f aca="false">_xlfn.TEXTJOIN( , ,B336,C336)</f>
        <v>electrical_roomSpot Cam - PTZ - 3 spot-cam-ptz.jpg</v>
      </c>
    </row>
    <row r="337" s="7" customFormat="true" ht="15.75" hidden="true" customHeight="true" outlineLevel="0" collapsed="false">
      <c r="A337" s="7" t="s">
        <v>20</v>
      </c>
      <c r="B337" s="7" t="s">
        <v>234</v>
      </c>
      <c r="C337" s="7" t="s">
        <v>62</v>
      </c>
      <c r="D337" s="10" t="s">
        <v>279</v>
      </c>
      <c r="E337" s="10" t="s">
        <v>89</v>
      </c>
      <c r="F337" s="7" t="s">
        <v>90</v>
      </c>
      <c r="G337" s="7" t="s">
        <v>102</v>
      </c>
      <c r="O337" s="8" t="s">
        <v>79</v>
      </c>
      <c r="P337" s="8" t="s">
        <v>80</v>
      </c>
      <c r="Q337" s="8" t="s">
        <v>81</v>
      </c>
      <c r="R337" s="10" t="s">
        <v>82</v>
      </c>
      <c r="T337" s="7" t="str">
        <f aca="false">_xlfn.TEXTJOIN( , ,B337,C337)</f>
        <v>electrical_roomSpot Cam - PTZ - 3 spot-cam-ptz.jpg</v>
      </c>
    </row>
    <row r="338" s="7" customFormat="true" ht="15.75" hidden="true" customHeight="true" outlineLevel="0" collapsed="false">
      <c r="A338" s="7" t="s">
        <v>20</v>
      </c>
      <c r="B338" s="7" t="s">
        <v>234</v>
      </c>
      <c r="C338" s="7" t="s">
        <v>127</v>
      </c>
      <c r="D338" s="10" t="s">
        <v>282</v>
      </c>
      <c r="E338" s="10" t="s">
        <v>132</v>
      </c>
      <c r="F338" s="7" t="s">
        <v>94</v>
      </c>
      <c r="G338" s="7" t="s">
        <v>78</v>
      </c>
      <c r="O338" s="8" t="s">
        <v>79</v>
      </c>
      <c r="P338" s="8" t="s">
        <v>80</v>
      </c>
      <c r="Q338" s="8" t="s">
        <v>81</v>
      </c>
      <c r="R338" s="10" t="s">
        <v>82</v>
      </c>
      <c r="T338" s="7" t="str">
        <f aca="false">_xlfn.TEXTJOIN( , ,B338,C338)</f>
        <v>electrical_roomSpot Cam - PTZ - 30 spot-cam-ptz.jpg</v>
      </c>
    </row>
    <row r="339" s="7" customFormat="true" ht="15.75" hidden="true" customHeight="true" outlineLevel="0" collapsed="false">
      <c r="A339" s="7" t="s">
        <v>20</v>
      </c>
      <c r="B339" s="7" t="s">
        <v>234</v>
      </c>
      <c r="C339" s="7" t="s">
        <v>127</v>
      </c>
      <c r="D339" s="10" t="s">
        <v>282</v>
      </c>
      <c r="E339" s="10" t="s">
        <v>133</v>
      </c>
      <c r="F339" s="7" t="s">
        <v>77</v>
      </c>
      <c r="G339" s="7" t="s">
        <v>78</v>
      </c>
      <c r="O339" s="8" t="s">
        <v>79</v>
      </c>
      <c r="P339" s="8" t="s">
        <v>80</v>
      </c>
      <c r="Q339" s="8" t="s">
        <v>81</v>
      </c>
      <c r="R339" s="10" t="s">
        <v>82</v>
      </c>
      <c r="T339" s="7" t="str">
        <f aca="false">_xlfn.TEXTJOIN( , ,B339,C339)</f>
        <v>electrical_roomSpot Cam - PTZ - 30 spot-cam-ptz.jpg</v>
      </c>
    </row>
    <row r="340" s="7" customFormat="true" ht="15.75" hidden="true" customHeight="true" outlineLevel="0" collapsed="false">
      <c r="A340" s="7" t="s">
        <v>20</v>
      </c>
      <c r="B340" s="7" t="s">
        <v>234</v>
      </c>
      <c r="C340" s="7" t="s">
        <v>127</v>
      </c>
      <c r="D340" s="10" t="s">
        <v>282</v>
      </c>
      <c r="E340" s="10" t="s">
        <v>92</v>
      </c>
      <c r="F340" s="7" t="s">
        <v>93</v>
      </c>
      <c r="G340" s="7" t="s">
        <v>78</v>
      </c>
      <c r="O340" s="8" t="s">
        <v>79</v>
      </c>
      <c r="P340" s="8" t="s">
        <v>80</v>
      </c>
      <c r="Q340" s="8" t="s">
        <v>81</v>
      </c>
      <c r="R340" s="10" t="s">
        <v>82</v>
      </c>
      <c r="T340" s="7" t="str">
        <f aca="false">_xlfn.TEXTJOIN( , ,B340,C340)</f>
        <v>electrical_roomSpot Cam - PTZ - 30 spot-cam-ptz.jpg</v>
      </c>
    </row>
    <row r="341" s="7" customFormat="true" ht="15.75" hidden="true" customHeight="true" outlineLevel="0" collapsed="false">
      <c r="A341" s="7" t="s">
        <v>20</v>
      </c>
      <c r="B341" s="7" t="s">
        <v>234</v>
      </c>
      <c r="C341" s="7" t="s">
        <v>127</v>
      </c>
      <c r="D341" s="10" t="s">
        <v>282</v>
      </c>
      <c r="E341" s="10" t="s">
        <v>134</v>
      </c>
      <c r="F341" s="7" t="s">
        <v>88</v>
      </c>
      <c r="G341" s="7" t="s">
        <v>78</v>
      </c>
      <c r="O341" s="8" t="s">
        <v>79</v>
      </c>
      <c r="P341" s="8" t="s">
        <v>80</v>
      </c>
      <c r="Q341" s="8" t="s">
        <v>81</v>
      </c>
      <c r="R341" s="10" t="s">
        <v>82</v>
      </c>
      <c r="T341" s="7" t="str">
        <f aca="false">_xlfn.TEXTJOIN( , ,B341,C341)</f>
        <v>electrical_roomSpot Cam - PTZ - 30 spot-cam-ptz.jpg</v>
      </c>
    </row>
    <row r="342" s="7" customFormat="true" ht="15.75" hidden="true" customHeight="true" outlineLevel="0" collapsed="false">
      <c r="A342" s="7" t="s">
        <v>20</v>
      </c>
      <c r="B342" s="7" t="s">
        <v>234</v>
      </c>
      <c r="C342" s="7" t="s">
        <v>127</v>
      </c>
      <c r="D342" s="10" t="s">
        <v>282</v>
      </c>
      <c r="E342" s="10" t="s">
        <v>135</v>
      </c>
      <c r="F342" s="7" t="s">
        <v>95</v>
      </c>
      <c r="G342" s="7" t="s">
        <v>78</v>
      </c>
      <c r="O342" s="8" t="s">
        <v>79</v>
      </c>
      <c r="P342" s="8" t="s">
        <v>80</v>
      </c>
      <c r="Q342" s="8" t="s">
        <v>81</v>
      </c>
      <c r="R342" s="10" t="s">
        <v>82</v>
      </c>
      <c r="T342" s="7" t="str">
        <f aca="false">_xlfn.TEXTJOIN( , ,B342,C342)</f>
        <v>electrical_roomSpot Cam - PTZ - 30 spot-cam-ptz.jpg</v>
      </c>
    </row>
    <row r="343" s="7" customFormat="true" ht="15.75" hidden="true" customHeight="true" outlineLevel="0" collapsed="false">
      <c r="A343" s="7" t="s">
        <v>20</v>
      </c>
      <c r="B343" s="7" t="s">
        <v>234</v>
      </c>
      <c r="C343" s="7" t="s">
        <v>127</v>
      </c>
      <c r="D343" s="10" t="s">
        <v>282</v>
      </c>
      <c r="E343" s="10" t="s">
        <v>136</v>
      </c>
      <c r="F343" s="7" t="s">
        <v>137</v>
      </c>
      <c r="G343" s="7" t="s">
        <v>102</v>
      </c>
      <c r="O343" s="8" t="s">
        <v>79</v>
      </c>
      <c r="P343" s="8" t="s">
        <v>80</v>
      </c>
      <c r="Q343" s="8" t="s">
        <v>81</v>
      </c>
      <c r="R343" s="10" t="s">
        <v>82</v>
      </c>
      <c r="T343" s="7" t="str">
        <f aca="false">_xlfn.TEXTJOIN( , ,B343,C343)</f>
        <v>electrical_roomSpot Cam - PTZ - 30 spot-cam-ptz.jpg</v>
      </c>
    </row>
    <row r="344" s="7" customFormat="true" ht="15.75" hidden="true" customHeight="true" outlineLevel="0" collapsed="false">
      <c r="A344" s="7" t="s">
        <v>20</v>
      </c>
      <c r="B344" s="7" t="s">
        <v>234</v>
      </c>
      <c r="C344" s="7" t="s">
        <v>128</v>
      </c>
      <c r="D344" s="10" t="s">
        <v>283</v>
      </c>
      <c r="E344" s="7" t="s">
        <v>284</v>
      </c>
      <c r="F344" s="7" t="s">
        <v>285</v>
      </c>
      <c r="G344" s="7" t="s">
        <v>36</v>
      </c>
      <c r="J344" s="7" t="n">
        <v>0</v>
      </c>
      <c r="K344" s="7" t="n">
        <v>100</v>
      </c>
      <c r="L344" s="7" t="n">
        <v>0</v>
      </c>
      <c r="M344" s="7" t="n">
        <v>0</v>
      </c>
      <c r="N344" s="7" t="s">
        <v>286</v>
      </c>
      <c r="O344" s="8" t="s">
        <v>79</v>
      </c>
      <c r="P344" s="8" t="s">
        <v>80</v>
      </c>
      <c r="Q344" s="8" t="s">
        <v>81</v>
      </c>
      <c r="R344" s="10" t="s">
        <v>82</v>
      </c>
      <c r="T344" s="7" t="str">
        <f aca="false">_xlfn.TEXTJOIN( , ,B344,C344)</f>
        <v>electrical_roomSpot Cam - PTZ - 31 spot-cam-ptz.jpg</v>
      </c>
    </row>
    <row r="345" s="7" customFormat="true" ht="15.75" hidden="true" customHeight="true" outlineLevel="0" collapsed="false">
      <c r="A345" s="7" t="s">
        <v>20</v>
      </c>
      <c r="B345" s="7" t="s">
        <v>234</v>
      </c>
      <c r="C345" s="12" t="s">
        <v>128</v>
      </c>
      <c r="D345" s="10" t="s">
        <v>283</v>
      </c>
      <c r="E345" s="10" t="s">
        <v>86</v>
      </c>
      <c r="F345" s="7" t="s">
        <v>84</v>
      </c>
      <c r="G345" s="7" t="s">
        <v>78</v>
      </c>
      <c r="I345" s="8" t="s">
        <v>79</v>
      </c>
      <c r="J345" s="8" t="s">
        <v>80</v>
      </c>
      <c r="K345" s="8" t="s">
        <v>81</v>
      </c>
      <c r="L345" s="10" t="s">
        <v>82</v>
      </c>
      <c r="T345" s="7" t="str">
        <f aca="false">_xlfn.TEXTJOIN( , ,B345,C345)</f>
        <v>electrical_roomSpot Cam - PTZ - 31 spot-cam-ptz.jpg</v>
      </c>
    </row>
    <row r="346" s="7" customFormat="true" ht="15.75" hidden="true" customHeight="true" outlineLevel="0" collapsed="false">
      <c r="A346" s="7" t="s">
        <v>20</v>
      </c>
      <c r="B346" s="7" t="s">
        <v>234</v>
      </c>
      <c r="C346" s="12" t="s">
        <v>128</v>
      </c>
      <c r="D346" s="10" t="s">
        <v>283</v>
      </c>
      <c r="E346" s="10" t="s">
        <v>85</v>
      </c>
      <c r="F346" s="7" t="s">
        <v>84</v>
      </c>
      <c r="G346" s="7" t="s">
        <v>78</v>
      </c>
      <c r="T346" s="7" t="str">
        <f aca="false">_xlfn.TEXTJOIN( , ,B346,C346)</f>
        <v>electrical_roomSpot Cam - PTZ - 31 spot-cam-ptz.jpg</v>
      </c>
    </row>
    <row r="347" s="7" customFormat="true" ht="15.75" hidden="true" customHeight="true" outlineLevel="0" collapsed="false">
      <c r="A347" s="7" t="s">
        <v>20</v>
      </c>
      <c r="B347" s="7" t="s">
        <v>234</v>
      </c>
      <c r="C347" s="7" t="s">
        <v>129</v>
      </c>
      <c r="D347" s="10" t="s">
        <v>283</v>
      </c>
      <c r="E347" s="10" t="s">
        <v>76</v>
      </c>
      <c r="F347" s="7" t="s">
        <v>77</v>
      </c>
      <c r="G347" s="7" t="s">
        <v>78</v>
      </c>
      <c r="O347" s="8" t="s">
        <v>79</v>
      </c>
      <c r="P347" s="8" t="s">
        <v>80</v>
      </c>
      <c r="Q347" s="8" t="s">
        <v>81</v>
      </c>
      <c r="R347" s="10" t="s">
        <v>82</v>
      </c>
      <c r="T347" s="7" t="str">
        <f aca="false">_xlfn.TEXTJOIN( , ,B347,C347)</f>
        <v>electrical_roomSpot Cam - PTZ - 32 spot-cam-ptz.jpg</v>
      </c>
    </row>
    <row r="348" s="7" customFormat="true" ht="15.75" hidden="true" customHeight="true" outlineLevel="0" collapsed="false">
      <c r="A348" s="7" t="s">
        <v>20</v>
      </c>
      <c r="B348" s="7" t="s">
        <v>234</v>
      </c>
      <c r="C348" s="7" t="s">
        <v>129</v>
      </c>
      <c r="D348" s="10" t="s">
        <v>283</v>
      </c>
      <c r="E348" s="10" t="s">
        <v>92</v>
      </c>
      <c r="F348" s="7" t="s">
        <v>93</v>
      </c>
      <c r="G348" s="7" t="s">
        <v>78</v>
      </c>
      <c r="O348" s="8" t="s">
        <v>79</v>
      </c>
      <c r="P348" s="8" t="s">
        <v>80</v>
      </c>
      <c r="Q348" s="8" t="s">
        <v>81</v>
      </c>
      <c r="R348" s="10" t="s">
        <v>82</v>
      </c>
      <c r="T348" s="7" t="str">
        <f aca="false">_xlfn.TEXTJOIN( , ,B348,C348)</f>
        <v>electrical_roomSpot Cam - PTZ - 32 spot-cam-ptz.jpg</v>
      </c>
    </row>
    <row r="349" s="7" customFormat="true" ht="15.75" hidden="true" customHeight="true" outlineLevel="0" collapsed="false">
      <c r="A349" s="7" t="s">
        <v>20</v>
      </c>
      <c r="B349" s="7" t="s">
        <v>234</v>
      </c>
      <c r="C349" s="7" t="s">
        <v>129</v>
      </c>
      <c r="D349" s="10" t="s">
        <v>283</v>
      </c>
      <c r="E349" s="10" t="s">
        <v>87</v>
      </c>
      <c r="F349" s="7" t="s">
        <v>88</v>
      </c>
      <c r="G349" s="7" t="s">
        <v>78</v>
      </c>
      <c r="O349" s="8" t="s">
        <v>79</v>
      </c>
      <c r="P349" s="8" t="s">
        <v>80</v>
      </c>
      <c r="Q349" s="8" t="s">
        <v>81</v>
      </c>
      <c r="R349" s="10" t="s">
        <v>82</v>
      </c>
      <c r="T349" s="7" t="str">
        <f aca="false">_xlfn.TEXTJOIN( , ,B349,C349)</f>
        <v>electrical_roomSpot Cam - PTZ - 32 spot-cam-ptz.jpg</v>
      </c>
    </row>
    <row r="350" s="7" customFormat="true" ht="15.75" hidden="true" customHeight="true" outlineLevel="0" collapsed="false">
      <c r="A350" s="7" t="s">
        <v>20</v>
      </c>
      <c r="B350" s="7" t="s">
        <v>234</v>
      </c>
      <c r="C350" s="7" t="s">
        <v>129</v>
      </c>
      <c r="D350" s="10" t="s">
        <v>283</v>
      </c>
      <c r="E350" s="10" t="s">
        <v>96</v>
      </c>
      <c r="F350" s="7" t="s">
        <v>101</v>
      </c>
      <c r="G350" s="7" t="s">
        <v>102</v>
      </c>
      <c r="O350" s="8" t="s">
        <v>79</v>
      </c>
      <c r="P350" s="8" t="s">
        <v>80</v>
      </c>
      <c r="Q350" s="8" t="s">
        <v>81</v>
      </c>
      <c r="R350" s="10" t="s">
        <v>82</v>
      </c>
      <c r="T350" s="7" t="str">
        <f aca="false">_xlfn.TEXTJOIN( , ,B350,C350)</f>
        <v>electrical_roomSpot Cam - PTZ - 32 spot-cam-ptz.jpg</v>
      </c>
    </row>
    <row r="351" s="7" customFormat="true" ht="15.75" hidden="true" customHeight="true" outlineLevel="0" collapsed="false">
      <c r="A351" s="7" t="s">
        <v>20</v>
      </c>
      <c r="B351" s="7" t="s">
        <v>234</v>
      </c>
      <c r="C351" s="7" t="s">
        <v>131</v>
      </c>
      <c r="D351" s="10" t="s">
        <v>283</v>
      </c>
      <c r="E351" s="7" t="s">
        <v>164</v>
      </c>
      <c r="F351" s="7" t="s">
        <v>106</v>
      </c>
      <c r="G351" s="7" t="s">
        <v>78</v>
      </c>
      <c r="O351" s="8" t="s">
        <v>79</v>
      </c>
      <c r="P351" s="8" t="s">
        <v>80</v>
      </c>
      <c r="Q351" s="8" t="s">
        <v>81</v>
      </c>
      <c r="R351" s="10" t="s">
        <v>82</v>
      </c>
      <c r="T351" s="7" t="str">
        <f aca="false">_xlfn.TEXTJOIN( , ,B351,C351)</f>
        <v>electrical_roomSpot Cam - PTZ - 33 spot-cam-ptz.jpg</v>
      </c>
    </row>
    <row r="352" s="7" customFormat="true" ht="15.75" hidden="true" customHeight="true" outlineLevel="0" collapsed="false">
      <c r="A352" s="7" t="s">
        <v>20</v>
      </c>
      <c r="B352" s="7" t="s">
        <v>234</v>
      </c>
      <c r="C352" s="7" t="s">
        <v>138</v>
      </c>
      <c r="D352" s="10" t="s">
        <v>287</v>
      </c>
      <c r="E352" s="7" t="s">
        <v>284</v>
      </c>
      <c r="F352" s="7" t="s">
        <v>285</v>
      </c>
      <c r="G352" s="7" t="s">
        <v>36</v>
      </c>
      <c r="J352" s="7" t="n">
        <v>0</v>
      </c>
      <c r="K352" s="7" t="n">
        <v>100</v>
      </c>
      <c r="L352" s="7" t="n">
        <v>0</v>
      </c>
      <c r="M352" s="7" t="n">
        <v>0</v>
      </c>
      <c r="N352" s="7" t="s">
        <v>286</v>
      </c>
      <c r="O352" s="8" t="s">
        <v>79</v>
      </c>
      <c r="P352" s="8" t="s">
        <v>80</v>
      </c>
      <c r="Q352" s="8" t="s">
        <v>81</v>
      </c>
      <c r="R352" s="10" t="s">
        <v>82</v>
      </c>
      <c r="T352" s="7" t="str">
        <f aca="false">_xlfn.TEXTJOIN( , ,B352,C352)</f>
        <v>electrical_roomSpot Cam - PTZ - 34 spot-cam-ptz.jpg</v>
      </c>
    </row>
    <row r="353" s="7" customFormat="true" ht="15.75" hidden="true" customHeight="true" outlineLevel="0" collapsed="false">
      <c r="A353" s="7" t="s">
        <v>20</v>
      </c>
      <c r="B353" s="7" t="s">
        <v>234</v>
      </c>
      <c r="C353" s="12" t="s">
        <v>138</v>
      </c>
      <c r="D353" s="10" t="s">
        <v>287</v>
      </c>
      <c r="E353" s="10" t="s">
        <v>86</v>
      </c>
      <c r="F353" s="7" t="s">
        <v>84</v>
      </c>
      <c r="G353" s="7" t="s">
        <v>78</v>
      </c>
      <c r="I353" s="8" t="s">
        <v>79</v>
      </c>
      <c r="J353" s="8" t="s">
        <v>80</v>
      </c>
      <c r="K353" s="8" t="s">
        <v>81</v>
      </c>
      <c r="L353" s="10" t="s">
        <v>82</v>
      </c>
      <c r="T353" s="7" t="str">
        <f aca="false">_xlfn.TEXTJOIN( , ,B353,C353)</f>
        <v>electrical_roomSpot Cam - PTZ - 34 spot-cam-ptz.jpg</v>
      </c>
    </row>
    <row r="354" s="7" customFormat="true" ht="15.75" hidden="true" customHeight="true" outlineLevel="0" collapsed="false">
      <c r="A354" s="7" t="s">
        <v>20</v>
      </c>
      <c r="B354" s="7" t="s">
        <v>234</v>
      </c>
      <c r="C354" s="12" t="s">
        <v>138</v>
      </c>
      <c r="D354" s="10" t="s">
        <v>287</v>
      </c>
      <c r="E354" s="10" t="s">
        <v>85</v>
      </c>
      <c r="F354" s="7" t="s">
        <v>84</v>
      </c>
      <c r="G354" s="7" t="s">
        <v>78</v>
      </c>
      <c r="T354" s="7" t="str">
        <f aca="false">_xlfn.TEXTJOIN( , ,B354,C354)</f>
        <v>electrical_roomSpot Cam - PTZ - 34 spot-cam-ptz.jpg</v>
      </c>
    </row>
    <row r="355" s="7" customFormat="true" ht="15.75" hidden="true" customHeight="true" outlineLevel="0" collapsed="false">
      <c r="A355" s="7" t="s">
        <v>20</v>
      </c>
      <c r="B355" s="7" t="s">
        <v>234</v>
      </c>
      <c r="C355" s="7" t="s">
        <v>140</v>
      </c>
      <c r="D355" s="10" t="s">
        <v>287</v>
      </c>
      <c r="E355" s="10" t="s">
        <v>76</v>
      </c>
      <c r="F355" s="7" t="s">
        <v>94</v>
      </c>
      <c r="G355" s="7" t="s">
        <v>78</v>
      </c>
      <c r="O355" s="8" t="s">
        <v>79</v>
      </c>
      <c r="P355" s="8" t="s">
        <v>80</v>
      </c>
      <c r="Q355" s="8" t="s">
        <v>81</v>
      </c>
      <c r="R355" s="10" t="s">
        <v>82</v>
      </c>
      <c r="T355" s="7" t="str">
        <f aca="false">_xlfn.TEXTJOIN( , ,B355,C355)</f>
        <v>electrical_roomSpot Cam - PTZ - 35 spot-cam-ptz.jpg</v>
      </c>
    </row>
    <row r="356" s="7" customFormat="true" ht="15.75" hidden="true" customHeight="true" outlineLevel="0" collapsed="false">
      <c r="A356" s="7" t="s">
        <v>20</v>
      </c>
      <c r="B356" s="7" t="s">
        <v>234</v>
      </c>
      <c r="C356" s="7" t="s">
        <v>140</v>
      </c>
      <c r="D356" s="10" t="s">
        <v>287</v>
      </c>
      <c r="E356" s="10" t="s">
        <v>92</v>
      </c>
      <c r="F356" s="7" t="s">
        <v>93</v>
      </c>
      <c r="G356" s="7" t="s">
        <v>78</v>
      </c>
      <c r="O356" s="8" t="s">
        <v>79</v>
      </c>
      <c r="P356" s="8" t="s">
        <v>80</v>
      </c>
      <c r="Q356" s="8" t="s">
        <v>81</v>
      </c>
      <c r="R356" s="10" t="s">
        <v>82</v>
      </c>
      <c r="T356" s="7" t="str">
        <f aca="false">_xlfn.TEXTJOIN( , ,B356,C356)</f>
        <v>electrical_roomSpot Cam - PTZ - 35 spot-cam-ptz.jpg</v>
      </c>
    </row>
    <row r="357" s="7" customFormat="true" ht="15.75" hidden="true" customHeight="true" outlineLevel="0" collapsed="false">
      <c r="A357" s="7" t="s">
        <v>20</v>
      </c>
      <c r="B357" s="7" t="s">
        <v>234</v>
      </c>
      <c r="C357" s="7" t="s">
        <v>140</v>
      </c>
      <c r="D357" s="10" t="s">
        <v>287</v>
      </c>
      <c r="E357" s="10" t="s">
        <v>87</v>
      </c>
      <c r="F357" s="7" t="s">
        <v>95</v>
      </c>
      <c r="G357" s="7" t="s">
        <v>78</v>
      </c>
      <c r="O357" s="8" t="s">
        <v>79</v>
      </c>
      <c r="P357" s="8" t="s">
        <v>80</v>
      </c>
      <c r="Q357" s="8" t="s">
        <v>81</v>
      </c>
      <c r="R357" s="10" t="s">
        <v>82</v>
      </c>
      <c r="T357" s="7" t="str">
        <f aca="false">_xlfn.TEXTJOIN( , ,B357,C357)</f>
        <v>electrical_roomSpot Cam - PTZ - 35 spot-cam-ptz.jpg</v>
      </c>
    </row>
    <row r="358" s="7" customFormat="true" ht="15.75" hidden="true" customHeight="true" outlineLevel="0" collapsed="false">
      <c r="A358" s="7" t="s">
        <v>20</v>
      </c>
      <c r="B358" s="7" t="s">
        <v>234</v>
      </c>
      <c r="C358" s="7" t="s">
        <v>140</v>
      </c>
      <c r="D358" s="10" t="s">
        <v>287</v>
      </c>
      <c r="E358" s="10" t="s">
        <v>96</v>
      </c>
      <c r="F358" s="7" t="s">
        <v>101</v>
      </c>
      <c r="G358" s="7" t="s">
        <v>102</v>
      </c>
      <c r="O358" s="8" t="s">
        <v>79</v>
      </c>
      <c r="P358" s="8" t="s">
        <v>80</v>
      </c>
      <c r="Q358" s="8" t="s">
        <v>81</v>
      </c>
      <c r="R358" s="10" t="s">
        <v>82</v>
      </c>
      <c r="T358" s="7" t="str">
        <f aca="false">_xlfn.TEXTJOIN( , ,B358,C358)</f>
        <v>electrical_roomSpot Cam - PTZ - 35 spot-cam-ptz.jpg</v>
      </c>
    </row>
    <row r="359" s="7" customFormat="true" ht="15.75" hidden="true" customHeight="true" outlineLevel="0" collapsed="false">
      <c r="A359" s="7" t="s">
        <v>20</v>
      </c>
      <c r="B359" s="7" t="s">
        <v>234</v>
      </c>
      <c r="C359" s="7" t="s">
        <v>141</v>
      </c>
      <c r="D359" s="10" t="s">
        <v>287</v>
      </c>
      <c r="E359" s="7" t="s">
        <v>164</v>
      </c>
      <c r="F359" s="7" t="s">
        <v>106</v>
      </c>
      <c r="G359" s="7" t="s">
        <v>78</v>
      </c>
      <c r="O359" s="8" t="s">
        <v>79</v>
      </c>
      <c r="P359" s="8" t="s">
        <v>80</v>
      </c>
      <c r="Q359" s="8" t="s">
        <v>81</v>
      </c>
      <c r="R359" s="10" t="s">
        <v>82</v>
      </c>
      <c r="T359" s="7" t="str">
        <f aca="false">_xlfn.TEXTJOIN( , ,B359,C359)</f>
        <v>electrical_roomSpot Cam - PTZ - 36 spot-cam-ptz.jpg</v>
      </c>
    </row>
    <row r="360" s="7" customFormat="true" ht="15.75" hidden="true" customHeight="true" outlineLevel="0" collapsed="false">
      <c r="A360" s="7" t="s">
        <v>20</v>
      </c>
      <c r="B360" s="7" t="s">
        <v>234</v>
      </c>
      <c r="C360" s="7" t="s">
        <v>146</v>
      </c>
      <c r="D360" s="10" t="s">
        <v>288</v>
      </c>
      <c r="E360" s="7" t="s">
        <v>284</v>
      </c>
      <c r="F360" s="7" t="s">
        <v>285</v>
      </c>
      <c r="G360" s="7" t="s">
        <v>36</v>
      </c>
      <c r="J360" s="7" t="n">
        <v>0</v>
      </c>
      <c r="K360" s="7" t="n">
        <v>100</v>
      </c>
      <c r="L360" s="7" t="n">
        <v>0</v>
      </c>
      <c r="M360" s="7" t="n">
        <v>0</v>
      </c>
      <c r="N360" s="7" t="s">
        <v>286</v>
      </c>
      <c r="O360" s="8" t="s">
        <v>79</v>
      </c>
      <c r="P360" s="8" t="s">
        <v>80</v>
      </c>
      <c r="Q360" s="8" t="s">
        <v>81</v>
      </c>
      <c r="R360" s="10" t="s">
        <v>82</v>
      </c>
      <c r="T360" s="7" t="str">
        <f aca="false">_xlfn.TEXTJOIN( , ,B360,C360)</f>
        <v>electrical_roomSpot Cam - PTZ - 37 spot-cam-ptz.jpg</v>
      </c>
    </row>
    <row r="361" s="7" customFormat="true" ht="15.75" hidden="true" customHeight="true" outlineLevel="0" collapsed="false">
      <c r="A361" s="7" t="s">
        <v>20</v>
      </c>
      <c r="B361" s="7" t="s">
        <v>234</v>
      </c>
      <c r="C361" s="12" t="s">
        <v>146</v>
      </c>
      <c r="D361" s="10" t="s">
        <v>288</v>
      </c>
      <c r="E361" s="10" t="s">
        <v>86</v>
      </c>
      <c r="F361" s="7" t="s">
        <v>84</v>
      </c>
      <c r="G361" s="7" t="s">
        <v>78</v>
      </c>
      <c r="I361" s="8" t="s">
        <v>79</v>
      </c>
      <c r="J361" s="8" t="s">
        <v>80</v>
      </c>
      <c r="K361" s="8" t="s">
        <v>81</v>
      </c>
      <c r="L361" s="10" t="s">
        <v>82</v>
      </c>
      <c r="T361" s="7" t="str">
        <f aca="false">_xlfn.TEXTJOIN( , ,B361,C361)</f>
        <v>electrical_roomSpot Cam - PTZ - 37 spot-cam-ptz.jpg</v>
      </c>
    </row>
    <row r="362" s="7" customFormat="true" ht="15.75" hidden="true" customHeight="true" outlineLevel="0" collapsed="false">
      <c r="A362" s="7" t="s">
        <v>20</v>
      </c>
      <c r="B362" s="7" t="s">
        <v>234</v>
      </c>
      <c r="C362" s="12" t="s">
        <v>146</v>
      </c>
      <c r="D362" s="10" t="s">
        <v>288</v>
      </c>
      <c r="E362" s="10" t="s">
        <v>85</v>
      </c>
      <c r="F362" s="7" t="s">
        <v>84</v>
      </c>
      <c r="G362" s="7" t="s">
        <v>78</v>
      </c>
      <c r="T362" s="7" t="str">
        <f aca="false">_xlfn.TEXTJOIN( , ,B362,C362)</f>
        <v>electrical_roomSpot Cam - PTZ - 37 spot-cam-ptz.jpg</v>
      </c>
    </row>
    <row r="363" s="7" customFormat="true" ht="15.75" hidden="true" customHeight="true" outlineLevel="0" collapsed="false">
      <c r="A363" s="7" t="s">
        <v>20</v>
      </c>
      <c r="B363" s="7" t="s">
        <v>234</v>
      </c>
      <c r="C363" s="7" t="s">
        <v>149</v>
      </c>
      <c r="D363" s="10" t="s">
        <v>288</v>
      </c>
      <c r="E363" s="10" t="s">
        <v>76</v>
      </c>
      <c r="F363" s="7" t="s">
        <v>77</v>
      </c>
      <c r="G363" s="7" t="s">
        <v>78</v>
      </c>
      <c r="O363" s="8" t="s">
        <v>79</v>
      </c>
      <c r="P363" s="8" t="s">
        <v>80</v>
      </c>
      <c r="Q363" s="8" t="s">
        <v>81</v>
      </c>
      <c r="R363" s="10" t="s">
        <v>82</v>
      </c>
      <c r="T363" s="7" t="str">
        <f aca="false">_xlfn.TEXTJOIN( , ,B363,C363)</f>
        <v>electrical_roomSpot Cam - PTZ - 38 spot-cam-ptz.jpg</v>
      </c>
    </row>
    <row r="364" s="7" customFormat="true" ht="15.75" hidden="true" customHeight="true" outlineLevel="0" collapsed="false">
      <c r="A364" s="7" t="s">
        <v>20</v>
      </c>
      <c r="B364" s="7" t="s">
        <v>234</v>
      </c>
      <c r="C364" s="7" t="s">
        <v>149</v>
      </c>
      <c r="D364" s="10" t="s">
        <v>288</v>
      </c>
      <c r="E364" s="10" t="s">
        <v>92</v>
      </c>
      <c r="F364" s="7" t="s">
        <v>93</v>
      </c>
      <c r="G364" s="7" t="s">
        <v>78</v>
      </c>
      <c r="O364" s="8" t="s">
        <v>79</v>
      </c>
      <c r="P364" s="8" t="s">
        <v>80</v>
      </c>
      <c r="Q364" s="8" t="s">
        <v>81</v>
      </c>
      <c r="R364" s="10" t="s">
        <v>82</v>
      </c>
      <c r="T364" s="7" t="str">
        <f aca="false">_xlfn.TEXTJOIN( , ,B364,C364)</f>
        <v>electrical_roomSpot Cam - PTZ - 38 spot-cam-ptz.jpg</v>
      </c>
    </row>
    <row r="365" s="7" customFormat="true" ht="15.75" hidden="true" customHeight="true" outlineLevel="0" collapsed="false">
      <c r="A365" s="7" t="s">
        <v>20</v>
      </c>
      <c r="B365" s="7" t="s">
        <v>234</v>
      </c>
      <c r="C365" s="7" t="s">
        <v>149</v>
      </c>
      <c r="D365" s="10" t="s">
        <v>288</v>
      </c>
      <c r="E365" s="10" t="s">
        <v>87</v>
      </c>
      <c r="F365" s="7" t="s">
        <v>88</v>
      </c>
      <c r="G365" s="7" t="s">
        <v>78</v>
      </c>
      <c r="O365" s="8" t="s">
        <v>79</v>
      </c>
      <c r="P365" s="8" t="s">
        <v>80</v>
      </c>
      <c r="Q365" s="8" t="s">
        <v>81</v>
      </c>
      <c r="R365" s="10" t="s">
        <v>82</v>
      </c>
      <c r="T365" s="7" t="str">
        <f aca="false">_xlfn.TEXTJOIN( , ,B365,C365)</f>
        <v>electrical_roomSpot Cam - PTZ - 38 spot-cam-ptz.jpg</v>
      </c>
    </row>
    <row r="366" s="7" customFormat="true" ht="15.75" hidden="true" customHeight="true" outlineLevel="0" collapsed="false">
      <c r="A366" s="7" t="s">
        <v>20</v>
      </c>
      <c r="B366" s="7" t="s">
        <v>234</v>
      </c>
      <c r="C366" s="7" t="s">
        <v>149</v>
      </c>
      <c r="D366" s="10" t="s">
        <v>288</v>
      </c>
      <c r="E366" s="10" t="s">
        <v>96</v>
      </c>
      <c r="F366" s="7" t="s">
        <v>101</v>
      </c>
      <c r="G366" s="7" t="s">
        <v>102</v>
      </c>
      <c r="O366" s="8" t="s">
        <v>79</v>
      </c>
      <c r="P366" s="8" t="s">
        <v>80</v>
      </c>
      <c r="Q366" s="8" t="s">
        <v>81</v>
      </c>
      <c r="R366" s="10" t="s">
        <v>82</v>
      </c>
      <c r="T366" s="7" t="str">
        <f aca="false">_xlfn.TEXTJOIN( , ,B366,C366)</f>
        <v>electrical_roomSpot Cam - PTZ - 38 spot-cam-ptz.jpg</v>
      </c>
    </row>
    <row r="367" s="7" customFormat="true" ht="15.75" hidden="true" customHeight="true" outlineLevel="0" collapsed="false">
      <c r="A367" s="7" t="s">
        <v>20</v>
      </c>
      <c r="B367" s="7" t="s">
        <v>234</v>
      </c>
      <c r="C367" s="7" t="s">
        <v>155</v>
      </c>
      <c r="D367" s="10" t="s">
        <v>288</v>
      </c>
      <c r="E367" s="7" t="s">
        <v>164</v>
      </c>
      <c r="F367" s="7" t="s">
        <v>106</v>
      </c>
      <c r="G367" s="7" t="s">
        <v>78</v>
      </c>
      <c r="O367" s="8" t="s">
        <v>79</v>
      </c>
      <c r="P367" s="8" t="s">
        <v>80</v>
      </c>
      <c r="Q367" s="8" t="s">
        <v>81</v>
      </c>
      <c r="R367" s="10" t="s">
        <v>82</v>
      </c>
      <c r="T367" s="7" t="str">
        <f aca="false">_xlfn.TEXTJOIN( , ,B367,C367)</f>
        <v>electrical_roomSpot Cam - PTZ - 39 spot-cam-ptz.jpg</v>
      </c>
    </row>
    <row r="368" s="7" customFormat="true" ht="15.75" hidden="true" customHeight="true" outlineLevel="0" collapsed="false">
      <c r="A368" s="7" t="s">
        <v>20</v>
      </c>
      <c r="B368" s="7" t="s">
        <v>234</v>
      </c>
      <c r="C368" s="7" t="s">
        <v>67</v>
      </c>
      <c r="D368" s="10" t="s">
        <v>279</v>
      </c>
      <c r="E368" s="7" t="s">
        <v>164</v>
      </c>
      <c r="F368" s="7" t="s">
        <v>106</v>
      </c>
      <c r="G368" s="7" t="s">
        <v>78</v>
      </c>
      <c r="O368" s="8" t="s">
        <v>79</v>
      </c>
      <c r="P368" s="8" t="s">
        <v>80</v>
      </c>
      <c r="Q368" s="8" t="s">
        <v>81</v>
      </c>
      <c r="R368" s="10" t="s">
        <v>82</v>
      </c>
      <c r="T368" s="7" t="str">
        <f aca="false">_xlfn.TEXTJOIN( , ,B368,C368)</f>
        <v>electrical_roomSpot Cam - PTZ - 4 spot-cam-ptz.jpg</v>
      </c>
    </row>
    <row r="369" s="7" customFormat="true" ht="15.75" hidden="false" customHeight="true" outlineLevel="0" collapsed="false">
      <c r="A369" s="7" t="s">
        <v>20</v>
      </c>
      <c r="B369" s="7" t="s">
        <v>234</v>
      </c>
      <c r="C369" s="7" t="s">
        <v>163</v>
      </c>
      <c r="D369" s="10" t="s">
        <v>289</v>
      </c>
      <c r="E369" s="7" t="s">
        <v>143</v>
      </c>
      <c r="F369" s="7" t="s">
        <v>143</v>
      </c>
      <c r="G369" s="7" t="s">
        <v>44</v>
      </c>
      <c r="O369" s="8" t="s">
        <v>79</v>
      </c>
      <c r="P369" s="8" t="s">
        <v>144</v>
      </c>
      <c r="Q369" s="8" t="s">
        <v>81</v>
      </c>
      <c r="S369" s="11" t="s">
        <v>145</v>
      </c>
      <c r="T369" s="7" t="str">
        <f aca="false">_xlfn.TEXTJOIN( , ,B369,C369)</f>
        <v>electrical_roomSpot Cam - PTZ - 40 spot-cam-ptz.jpg</v>
      </c>
    </row>
    <row r="370" s="7" customFormat="true" ht="15.75" hidden="true" customHeight="true" outlineLevel="0" collapsed="false">
      <c r="A370" s="7" t="s">
        <v>20</v>
      </c>
      <c r="B370" s="7" t="s">
        <v>234</v>
      </c>
      <c r="C370" s="7" t="s">
        <v>163</v>
      </c>
      <c r="D370" s="10" t="s">
        <v>289</v>
      </c>
      <c r="E370" s="10" t="s">
        <v>92</v>
      </c>
      <c r="F370" s="7" t="s">
        <v>93</v>
      </c>
      <c r="G370" s="7" t="s">
        <v>78</v>
      </c>
      <c r="O370" s="8" t="s">
        <v>147</v>
      </c>
      <c r="P370" s="8" t="s">
        <v>148</v>
      </c>
      <c r="T370" s="7" t="str">
        <f aca="false">_xlfn.TEXTJOIN( , ,B370,C370)</f>
        <v>electrical_roomSpot Cam - PTZ - 40 spot-cam-ptz.jpg</v>
      </c>
    </row>
    <row r="371" s="7" customFormat="true" ht="15.75" hidden="false" customHeight="true" outlineLevel="0" collapsed="false">
      <c r="A371" s="7" t="s">
        <v>20</v>
      </c>
      <c r="B371" s="7" t="s">
        <v>234</v>
      </c>
      <c r="C371" s="7" t="s">
        <v>165</v>
      </c>
      <c r="D371" s="10" t="s">
        <v>290</v>
      </c>
      <c r="E371" s="7" t="s">
        <v>143</v>
      </c>
      <c r="F371" s="7" t="s">
        <v>143</v>
      </c>
      <c r="G371" s="7" t="s">
        <v>44</v>
      </c>
      <c r="O371" s="8" t="s">
        <v>79</v>
      </c>
      <c r="P371" s="8" t="s">
        <v>144</v>
      </c>
      <c r="Q371" s="8" t="s">
        <v>81</v>
      </c>
      <c r="S371" s="11" t="s">
        <v>145</v>
      </c>
      <c r="T371" s="7" t="str">
        <f aca="false">_xlfn.TEXTJOIN( , ,B371,C371)</f>
        <v>electrical_roomSpot Cam - PTZ - 41 spot-cam-ptz.jpg</v>
      </c>
    </row>
    <row r="372" s="7" customFormat="true" ht="15.75" hidden="true" customHeight="true" outlineLevel="0" collapsed="false">
      <c r="A372" s="7" t="s">
        <v>20</v>
      </c>
      <c r="B372" s="7" t="s">
        <v>234</v>
      </c>
      <c r="C372" s="7" t="s">
        <v>165</v>
      </c>
      <c r="D372" s="10" t="s">
        <v>290</v>
      </c>
      <c r="E372" s="10" t="s">
        <v>92</v>
      </c>
      <c r="F372" s="7" t="s">
        <v>93</v>
      </c>
      <c r="G372" s="7" t="s">
        <v>78</v>
      </c>
      <c r="O372" s="8" t="s">
        <v>147</v>
      </c>
      <c r="P372" s="8" t="s">
        <v>148</v>
      </c>
      <c r="T372" s="7" t="str">
        <f aca="false">_xlfn.TEXTJOIN( , ,B372,C372)</f>
        <v>electrical_roomSpot Cam - PTZ - 41 spot-cam-ptz.jpg</v>
      </c>
    </row>
    <row r="373" s="7" customFormat="true" ht="15.75" hidden="false" customHeight="true" outlineLevel="0" collapsed="false">
      <c r="A373" s="7" t="s">
        <v>20</v>
      </c>
      <c r="B373" s="7" t="s">
        <v>234</v>
      </c>
      <c r="C373" s="7" t="s">
        <v>167</v>
      </c>
      <c r="D373" s="10" t="s">
        <v>291</v>
      </c>
      <c r="E373" s="7" t="s">
        <v>143</v>
      </c>
      <c r="F373" s="7" t="s">
        <v>143</v>
      </c>
      <c r="G373" s="7" t="s">
        <v>44</v>
      </c>
      <c r="O373" s="8" t="s">
        <v>79</v>
      </c>
      <c r="P373" s="8" t="s">
        <v>144</v>
      </c>
      <c r="Q373" s="8" t="s">
        <v>81</v>
      </c>
      <c r="S373" s="11" t="s">
        <v>145</v>
      </c>
      <c r="T373" s="7" t="str">
        <f aca="false">_xlfn.TEXTJOIN( , ,B373,C373)</f>
        <v>electrical_roomSpot Cam - PTZ - 42 spot-cam-ptz.jpg</v>
      </c>
    </row>
    <row r="374" s="7" customFormat="true" ht="15.75" hidden="true" customHeight="true" outlineLevel="0" collapsed="false">
      <c r="A374" s="7" t="s">
        <v>20</v>
      </c>
      <c r="B374" s="7" t="s">
        <v>234</v>
      </c>
      <c r="C374" s="7" t="s">
        <v>167</v>
      </c>
      <c r="D374" s="10" t="s">
        <v>291</v>
      </c>
      <c r="E374" s="10" t="s">
        <v>92</v>
      </c>
      <c r="F374" s="7" t="s">
        <v>93</v>
      </c>
      <c r="G374" s="7" t="s">
        <v>78</v>
      </c>
      <c r="O374" s="8" t="s">
        <v>147</v>
      </c>
      <c r="P374" s="8" t="s">
        <v>148</v>
      </c>
      <c r="T374" s="7" t="str">
        <f aca="false">_xlfn.TEXTJOIN( , ,B374,C374)</f>
        <v>electrical_roomSpot Cam - PTZ - 42 spot-cam-ptz.jpg</v>
      </c>
    </row>
    <row r="375" s="7" customFormat="true" ht="15.75" hidden="true" customHeight="true" outlineLevel="0" collapsed="false">
      <c r="A375" s="7" t="s">
        <v>20</v>
      </c>
      <c r="B375" s="7" t="s">
        <v>234</v>
      </c>
      <c r="C375" s="7" t="s">
        <v>168</v>
      </c>
      <c r="D375" s="7" t="s">
        <v>292</v>
      </c>
      <c r="F375" s="10" t="s">
        <v>293</v>
      </c>
      <c r="G375" s="7" t="s">
        <v>294</v>
      </c>
      <c r="O375" s="7" t="s">
        <v>295</v>
      </c>
      <c r="P375" s="8" t="s">
        <v>296</v>
      </c>
      <c r="Q375" s="8" t="s">
        <v>297</v>
      </c>
      <c r="T375" s="7" t="str">
        <f aca="false">_xlfn.TEXTJOIN( , ,B375,C375)</f>
        <v>electrical_roomSpot Cam - PTZ - 43 spot-cam-ptz.jpg</v>
      </c>
    </row>
    <row r="376" s="7" customFormat="true" ht="15.75" hidden="true" customHeight="true" outlineLevel="0" collapsed="false">
      <c r="A376" s="7" t="s">
        <v>20</v>
      </c>
      <c r="B376" s="7" t="s">
        <v>234</v>
      </c>
      <c r="C376" s="7" t="s">
        <v>170</v>
      </c>
      <c r="D376" s="7" t="s">
        <v>23</v>
      </c>
      <c r="F376" s="7" t="s">
        <v>24</v>
      </c>
      <c r="G376" s="7" t="s">
        <v>25</v>
      </c>
      <c r="I376" s="8" t="s">
        <v>26</v>
      </c>
      <c r="J376" s="8" t="s">
        <v>53</v>
      </c>
      <c r="T376" s="7" t="str">
        <f aca="false">_xlfn.TEXTJOIN( , ,B376,C376)</f>
        <v>electrical_roomSpot Cam - PTZ - 44 spot-cam-ptz.jpg</v>
      </c>
    </row>
    <row r="377" s="7" customFormat="true" ht="15.75" hidden="true" customHeight="true" outlineLevel="0" collapsed="false">
      <c r="A377" s="7" t="s">
        <v>20</v>
      </c>
      <c r="B377" s="7" t="s">
        <v>234</v>
      </c>
      <c r="C377" s="7" t="s">
        <v>170</v>
      </c>
      <c r="D377" s="7" t="s">
        <v>23</v>
      </c>
      <c r="F377" s="7" t="s">
        <v>24</v>
      </c>
      <c r="G377" s="7" t="s">
        <v>25</v>
      </c>
      <c r="O377" s="8" t="s">
        <v>26</v>
      </c>
      <c r="P377" s="8" t="s">
        <v>53</v>
      </c>
      <c r="T377" s="7" t="str">
        <f aca="false">_xlfn.TEXTJOIN( , ,B377,C377)</f>
        <v>electrical_roomSpot Cam - PTZ - 44 spot-cam-ptz.jpg</v>
      </c>
    </row>
    <row r="378" s="7" customFormat="true" ht="15.75" hidden="true" customHeight="true" outlineLevel="0" collapsed="false">
      <c r="A378" s="7" t="s">
        <v>20</v>
      </c>
      <c r="B378" s="7" t="s">
        <v>234</v>
      </c>
      <c r="C378" s="7" t="s">
        <v>170</v>
      </c>
      <c r="D378" s="7" t="s">
        <v>23</v>
      </c>
      <c r="E378" s="7" t="s">
        <v>30</v>
      </c>
      <c r="F378" s="7" t="s">
        <v>31</v>
      </c>
      <c r="G378" s="7" t="s">
        <v>25</v>
      </c>
      <c r="O378" s="8" t="s">
        <v>26</v>
      </c>
      <c r="P378" s="8" t="s">
        <v>53</v>
      </c>
      <c r="T378" s="7" t="str">
        <f aca="false">_xlfn.TEXTJOIN( , ,B378,C378)</f>
        <v>electrical_roomSpot Cam - PTZ - 44 spot-cam-ptz.jpg</v>
      </c>
    </row>
    <row r="379" s="7" customFormat="true" ht="15.75" hidden="true" customHeight="true" outlineLevel="0" collapsed="false">
      <c r="A379" s="7" t="s">
        <v>20</v>
      </c>
      <c r="B379" s="7" t="s">
        <v>234</v>
      </c>
      <c r="C379" s="7" t="s">
        <v>171</v>
      </c>
      <c r="D379" s="7" t="s">
        <v>23</v>
      </c>
      <c r="E379" s="7" t="s">
        <v>34</v>
      </c>
      <c r="F379" s="7" t="s">
        <v>35</v>
      </c>
      <c r="G379" s="7" t="s">
        <v>36</v>
      </c>
      <c r="J379" s="7" t="n">
        <v>0</v>
      </c>
      <c r="K379" s="7" t="n">
        <v>10</v>
      </c>
      <c r="L379" s="7" t="n">
        <v>4</v>
      </c>
      <c r="M379" s="7" t="n">
        <v>9</v>
      </c>
      <c r="N379" s="10" t="s">
        <v>37</v>
      </c>
      <c r="O379" s="8" t="s">
        <v>26</v>
      </c>
      <c r="P379" s="8" t="s">
        <v>32</v>
      </c>
      <c r="R379" s="10" t="s">
        <v>38</v>
      </c>
      <c r="T379" s="7" t="str">
        <f aca="false">_xlfn.TEXTJOIN( , ,B379,C379)</f>
        <v>electrical_roomSpot Cam - PTZ - 45 spot-cam-ptz.jpg</v>
      </c>
    </row>
    <row r="380" s="7" customFormat="true" ht="15.75" hidden="true" customHeight="true" outlineLevel="0" collapsed="false">
      <c r="A380" s="7" t="s">
        <v>20</v>
      </c>
      <c r="B380" s="7" t="s">
        <v>234</v>
      </c>
      <c r="C380" s="7" t="s">
        <v>171</v>
      </c>
      <c r="D380" s="7" t="s">
        <v>23</v>
      </c>
      <c r="E380" s="7" t="s">
        <v>39</v>
      </c>
      <c r="F380" s="7" t="s">
        <v>35</v>
      </c>
      <c r="G380" s="7" t="s">
        <v>36</v>
      </c>
      <c r="J380" s="7" t="n">
        <v>0</v>
      </c>
      <c r="K380" s="7" t="n">
        <v>10</v>
      </c>
      <c r="L380" s="7" t="n">
        <v>4</v>
      </c>
      <c r="M380" s="7" t="n">
        <v>9</v>
      </c>
      <c r="N380" s="10" t="s">
        <v>37</v>
      </c>
      <c r="O380" s="8" t="s">
        <v>26</v>
      </c>
      <c r="P380" s="8" t="s">
        <v>32</v>
      </c>
      <c r="R380" s="10" t="s">
        <v>38</v>
      </c>
      <c r="T380" s="7" t="str">
        <f aca="false">_xlfn.TEXTJOIN( , ,B380,C380)</f>
        <v>electrical_roomSpot Cam - PTZ - 45 spot-cam-ptz.jpg</v>
      </c>
    </row>
    <row r="381" s="7" customFormat="true" ht="15.75" hidden="true" customHeight="true" outlineLevel="0" collapsed="false">
      <c r="A381" s="7" t="s">
        <v>20</v>
      </c>
      <c r="B381" s="7" t="s">
        <v>234</v>
      </c>
      <c r="C381" s="7" t="s">
        <v>173</v>
      </c>
      <c r="D381" s="10" t="s">
        <v>298</v>
      </c>
      <c r="E381" s="7" t="s">
        <v>273</v>
      </c>
      <c r="F381" s="7" t="s">
        <v>274</v>
      </c>
      <c r="G381" s="7" t="s">
        <v>78</v>
      </c>
      <c r="O381" s="8" t="s">
        <v>79</v>
      </c>
      <c r="P381" s="8" t="s">
        <v>80</v>
      </c>
      <c r="Q381" s="8" t="s">
        <v>81</v>
      </c>
      <c r="R381" s="10" t="s">
        <v>82</v>
      </c>
      <c r="T381" s="7" t="str">
        <f aca="false">_xlfn.TEXTJOIN( , ,B381,C381)</f>
        <v>electrical_roomSpot Cam - PTZ - 46 spot-cam-ptz.jpg</v>
      </c>
    </row>
    <row r="382" s="7" customFormat="true" ht="15.75" hidden="true" customHeight="true" outlineLevel="0" collapsed="false">
      <c r="A382" s="7" t="s">
        <v>20</v>
      </c>
      <c r="B382" s="7" t="s">
        <v>234</v>
      </c>
      <c r="C382" s="7" t="s">
        <v>174</v>
      </c>
      <c r="D382" s="10" t="s">
        <v>299</v>
      </c>
      <c r="E382" s="10" t="s">
        <v>76</v>
      </c>
      <c r="F382" s="7" t="s">
        <v>77</v>
      </c>
      <c r="G382" s="7" t="s">
        <v>78</v>
      </c>
      <c r="O382" s="8" t="s">
        <v>79</v>
      </c>
      <c r="P382" s="8" t="s">
        <v>80</v>
      </c>
      <c r="Q382" s="8" t="s">
        <v>81</v>
      </c>
      <c r="R382" s="10" t="s">
        <v>82</v>
      </c>
      <c r="T382" s="7" t="str">
        <f aca="false">_xlfn.TEXTJOIN( , ,B382,C382)</f>
        <v>electrical_roomSpot Cam - PTZ - 47 spot-cam-ptz.jpg</v>
      </c>
    </row>
    <row r="383" s="7" customFormat="true" ht="15.75" hidden="true" customHeight="true" outlineLevel="0" collapsed="false">
      <c r="A383" s="7" t="s">
        <v>20</v>
      </c>
      <c r="B383" s="7" t="s">
        <v>234</v>
      </c>
      <c r="C383" s="7" t="s">
        <v>174</v>
      </c>
      <c r="D383" s="10" t="s">
        <v>299</v>
      </c>
      <c r="E383" s="10" t="s">
        <v>87</v>
      </c>
      <c r="F383" s="7" t="s">
        <v>88</v>
      </c>
      <c r="G383" s="7" t="s">
        <v>78</v>
      </c>
      <c r="O383" s="8" t="s">
        <v>79</v>
      </c>
      <c r="P383" s="8" t="s">
        <v>80</v>
      </c>
      <c r="Q383" s="8" t="s">
        <v>81</v>
      </c>
      <c r="R383" s="10" t="s">
        <v>82</v>
      </c>
      <c r="T383" s="7" t="str">
        <f aca="false">_xlfn.TEXTJOIN( , ,B383,C383)</f>
        <v>electrical_roomSpot Cam - PTZ - 47 spot-cam-ptz.jpg</v>
      </c>
    </row>
    <row r="384" s="7" customFormat="true" ht="15.75" hidden="true" customHeight="true" outlineLevel="0" collapsed="false">
      <c r="A384" s="7" t="s">
        <v>20</v>
      </c>
      <c r="B384" s="7" t="s">
        <v>234</v>
      </c>
      <c r="C384" s="7" t="s">
        <v>174</v>
      </c>
      <c r="D384" s="10" t="s">
        <v>299</v>
      </c>
      <c r="E384" s="10" t="s">
        <v>276</v>
      </c>
      <c r="F384" s="7" t="s">
        <v>101</v>
      </c>
      <c r="G384" s="7" t="s">
        <v>102</v>
      </c>
      <c r="O384" s="8" t="s">
        <v>79</v>
      </c>
      <c r="P384" s="8" t="s">
        <v>80</v>
      </c>
      <c r="Q384" s="8" t="s">
        <v>81</v>
      </c>
      <c r="R384" s="10" t="s">
        <v>82</v>
      </c>
      <c r="T384" s="7" t="str">
        <f aca="false">_xlfn.TEXTJOIN( , ,B384,C384)</f>
        <v>electrical_roomSpot Cam - PTZ - 47 spot-cam-ptz.jpg</v>
      </c>
    </row>
    <row r="385" s="7" customFormat="true" ht="15.75" hidden="true" customHeight="true" outlineLevel="0" collapsed="false">
      <c r="A385" s="7" t="s">
        <v>20</v>
      </c>
      <c r="B385" s="7" t="s">
        <v>234</v>
      </c>
      <c r="C385" s="7" t="s">
        <v>177</v>
      </c>
      <c r="D385" s="10" t="s">
        <v>300</v>
      </c>
      <c r="E385" s="10" t="s">
        <v>76</v>
      </c>
      <c r="F385" s="7" t="s">
        <v>77</v>
      </c>
      <c r="G385" s="7" t="s">
        <v>78</v>
      </c>
      <c r="O385" s="8" t="s">
        <v>79</v>
      </c>
      <c r="P385" s="8" t="s">
        <v>80</v>
      </c>
      <c r="Q385" s="8" t="s">
        <v>81</v>
      </c>
      <c r="R385" s="10" t="s">
        <v>82</v>
      </c>
      <c r="T385" s="7" t="str">
        <f aca="false">_xlfn.TEXTJOIN( , ,B385,C385)</f>
        <v>electrical_roomSpot Cam - PTZ - 48 spot-cam-ptz.jpg</v>
      </c>
    </row>
    <row r="386" s="7" customFormat="true" ht="15.75" hidden="true" customHeight="true" outlineLevel="0" collapsed="false">
      <c r="A386" s="7" t="s">
        <v>20</v>
      </c>
      <c r="B386" s="7" t="s">
        <v>234</v>
      </c>
      <c r="C386" s="7" t="s">
        <v>177</v>
      </c>
      <c r="D386" s="10" t="s">
        <v>301</v>
      </c>
      <c r="E386" s="10" t="s">
        <v>92</v>
      </c>
      <c r="F386" s="7" t="s">
        <v>93</v>
      </c>
      <c r="G386" s="7" t="s">
        <v>78</v>
      </c>
      <c r="O386" s="8" t="s">
        <v>79</v>
      </c>
      <c r="Q386" s="8" t="s">
        <v>302</v>
      </c>
      <c r="T386" s="7" t="str">
        <f aca="false">_xlfn.TEXTJOIN( , ,B386,C386)</f>
        <v>electrical_roomSpot Cam - PTZ - 48 spot-cam-ptz.jpg</v>
      </c>
    </row>
    <row r="387" s="7" customFormat="true" ht="15.75" hidden="true" customHeight="true" outlineLevel="0" collapsed="false">
      <c r="A387" s="7" t="s">
        <v>20</v>
      </c>
      <c r="B387" s="7" t="s">
        <v>234</v>
      </c>
      <c r="C387" s="7" t="s">
        <v>177</v>
      </c>
      <c r="D387" s="10" t="s">
        <v>300</v>
      </c>
      <c r="E387" s="10" t="s">
        <v>87</v>
      </c>
      <c r="F387" s="7" t="s">
        <v>303</v>
      </c>
      <c r="G387" s="7" t="s">
        <v>78</v>
      </c>
      <c r="O387" s="8" t="s">
        <v>79</v>
      </c>
      <c r="P387" s="8" t="s">
        <v>80</v>
      </c>
      <c r="Q387" s="8" t="s">
        <v>81</v>
      </c>
      <c r="R387" s="10" t="s">
        <v>82</v>
      </c>
      <c r="T387" s="7" t="str">
        <f aca="false">_xlfn.TEXTJOIN( , ,B387,C387)</f>
        <v>electrical_roomSpot Cam - PTZ - 48 spot-cam-ptz.jpg</v>
      </c>
    </row>
    <row r="388" s="7" customFormat="true" ht="15.75" hidden="true" customHeight="true" outlineLevel="0" collapsed="false">
      <c r="A388" s="7" t="s">
        <v>20</v>
      </c>
      <c r="B388" s="7" t="s">
        <v>234</v>
      </c>
      <c r="C388" s="7" t="s">
        <v>177</v>
      </c>
      <c r="D388" s="10" t="s">
        <v>300</v>
      </c>
      <c r="E388" s="10" t="s">
        <v>89</v>
      </c>
      <c r="F388" s="7" t="s">
        <v>90</v>
      </c>
      <c r="G388" s="7" t="s">
        <v>102</v>
      </c>
      <c r="O388" s="8" t="s">
        <v>79</v>
      </c>
      <c r="P388" s="8" t="s">
        <v>80</v>
      </c>
      <c r="Q388" s="8" t="s">
        <v>81</v>
      </c>
      <c r="R388" s="10" t="s">
        <v>82</v>
      </c>
      <c r="T388" s="7" t="str">
        <f aca="false">_xlfn.TEXTJOIN( , ,B388,C388)</f>
        <v>electrical_roomSpot Cam - PTZ - 48 spot-cam-ptz.jpg</v>
      </c>
    </row>
    <row r="389" s="7" customFormat="true" ht="15.75" hidden="false" customHeight="true" outlineLevel="0" collapsed="false">
      <c r="A389" s="7" t="s">
        <v>20</v>
      </c>
      <c r="B389" s="7" t="s">
        <v>234</v>
      </c>
      <c r="C389" s="7" t="s">
        <v>178</v>
      </c>
      <c r="D389" s="10" t="s">
        <v>301</v>
      </c>
      <c r="E389" s="7" t="s">
        <v>304</v>
      </c>
      <c r="F389" s="10" t="s">
        <v>305</v>
      </c>
      <c r="G389" s="7" t="s">
        <v>44</v>
      </c>
      <c r="O389" s="8" t="s">
        <v>79</v>
      </c>
      <c r="P389" s="8" t="s">
        <v>306</v>
      </c>
      <c r="Q389" s="8" t="s">
        <v>302</v>
      </c>
      <c r="S389" s="11" t="s">
        <v>307</v>
      </c>
      <c r="T389" s="7" t="str">
        <f aca="false">_xlfn.TEXTJOIN( , ,B389,C389)</f>
        <v>electrical_roomSpot Cam - PTZ - 49 spot-cam-ptz.jpg</v>
      </c>
    </row>
    <row r="390" s="7" customFormat="true" ht="15.75" hidden="false" customHeight="true" outlineLevel="0" collapsed="false">
      <c r="A390" s="7" t="s">
        <v>20</v>
      </c>
      <c r="B390" s="7" t="s">
        <v>234</v>
      </c>
      <c r="C390" s="7" t="s">
        <v>68</v>
      </c>
      <c r="D390" s="10" t="s">
        <v>279</v>
      </c>
      <c r="E390" s="7" t="s">
        <v>143</v>
      </c>
      <c r="F390" s="7" t="s">
        <v>143</v>
      </c>
      <c r="G390" s="7" t="s">
        <v>44</v>
      </c>
      <c r="O390" s="8" t="s">
        <v>79</v>
      </c>
      <c r="P390" s="8" t="s">
        <v>144</v>
      </c>
      <c r="Q390" s="8" t="s">
        <v>81</v>
      </c>
      <c r="S390" s="11" t="s">
        <v>145</v>
      </c>
      <c r="T390" s="7" t="str">
        <f aca="false">_xlfn.TEXTJOIN( , ,B390,C390)</f>
        <v>electrical_roomSpot Cam - PTZ - 5 spot-cam-ptz.jpg</v>
      </c>
    </row>
    <row r="391" s="7" customFormat="true" ht="15.75" hidden="false" customHeight="true" outlineLevel="0" collapsed="false">
      <c r="A391" s="7" t="s">
        <v>20</v>
      </c>
      <c r="B391" s="7" t="s">
        <v>234</v>
      </c>
      <c r="C391" s="7" t="s">
        <v>194</v>
      </c>
      <c r="D391" s="10" t="s">
        <v>308</v>
      </c>
      <c r="E391" s="7" t="s">
        <v>151</v>
      </c>
      <c r="F391" s="7" t="s">
        <v>152</v>
      </c>
      <c r="G391" s="7" t="s">
        <v>44</v>
      </c>
      <c r="O391" s="8" t="s">
        <v>79</v>
      </c>
      <c r="P391" s="8" t="s">
        <v>266</v>
      </c>
      <c r="Q391" s="8" t="s">
        <v>81</v>
      </c>
      <c r="S391" s="11" t="s">
        <v>153</v>
      </c>
      <c r="T391" s="7" t="str">
        <f aca="false">_xlfn.TEXTJOIN( , ,B391,C391)</f>
        <v>electrical_roomSpot Cam - PTZ - 50 spot-cam-ptz.jpg</v>
      </c>
    </row>
    <row r="392" s="7" customFormat="true" ht="15.75" hidden="true" customHeight="true" outlineLevel="0" collapsed="false">
      <c r="A392" s="7" t="s">
        <v>20</v>
      </c>
      <c r="B392" s="7" t="s">
        <v>234</v>
      </c>
      <c r="C392" s="15" t="s">
        <v>194</v>
      </c>
      <c r="D392" s="13" t="s">
        <v>308</v>
      </c>
      <c r="E392" s="13" t="s">
        <v>309</v>
      </c>
      <c r="F392" s="7" t="s">
        <v>84</v>
      </c>
      <c r="G392" s="7" t="s">
        <v>78</v>
      </c>
      <c r="I392" s="8" t="s">
        <v>79</v>
      </c>
      <c r="J392" s="8" t="s">
        <v>80</v>
      </c>
      <c r="K392" s="8" t="s">
        <v>81</v>
      </c>
      <c r="L392" s="10" t="s">
        <v>82</v>
      </c>
      <c r="T392" s="7" t="str">
        <f aca="false">_xlfn.TEXTJOIN( , ,B392,C392)</f>
        <v>electrical_roomSpot Cam - PTZ - 50 spot-cam-ptz.jpg</v>
      </c>
    </row>
    <row r="393" s="7" customFormat="true" ht="15.75" hidden="true" customHeight="true" outlineLevel="0" collapsed="false">
      <c r="A393" s="7" t="s">
        <v>20</v>
      </c>
      <c r="B393" s="7" t="s">
        <v>234</v>
      </c>
      <c r="C393" s="15" t="s">
        <v>194</v>
      </c>
      <c r="D393" s="13" t="s">
        <v>308</v>
      </c>
      <c r="E393" s="13" t="s">
        <v>83</v>
      </c>
      <c r="F393" s="7" t="s">
        <v>84</v>
      </c>
      <c r="G393" s="7" t="s">
        <v>78</v>
      </c>
      <c r="T393" s="7" t="str">
        <f aca="false">_xlfn.TEXTJOIN( , ,B393,C393)</f>
        <v>electrical_roomSpot Cam - PTZ - 50 spot-cam-ptz.jpg</v>
      </c>
    </row>
    <row r="394" s="7" customFormat="true" ht="15.75" hidden="true" customHeight="true" outlineLevel="0" collapsed="false">
      <c r="A394" s="7" t="s">
        <v>20</v>
      </c>
      <c r="B394" s="7" t="s">
        <v>234</v>
      </c>
      <c r="C394" s="15" t="s">
        <v>194</v>
      </c>
      <c r="D394" s="13" t="s">
        <v>308</v>
      </c>
      <c r="E394" s="13" t="s">
        <v>85</v>
      </c>
      <c r="F394" s="7" t="s">
        <v>84</v>
      </c>
      <c r="G394" s="7" t="s">
        <v>78</v>
      </c>
      <c r="T394" s="7" t="str">
        <f aca="false">_xlfn.TEXTJOIN( , ,B394,C394)</f>
        <v>electrical_roomSpot Cam - PTZ - 50 spot-cam-ptz.jpg</v>
      </c>
    </row>
    <row r="395" s="7" customFormat="true" ht="15.75" hidden="true" customHeight="true" outlineLevel="0" collapsed="false">
      <c r="A395" s="7" t="s">
        <v>20</v>
      </c>
      <c r="B395" s="7" t="s">
        <v>234</v>
      </c>
      <c r="C395" s="7" t="s">
        <v>194</v>
      </c>
      <c r="D395" s="10" t="s">
        <v>308</v>
      </c>
      <c r="E395" s="10" t="s">
        <v>92</v>
      </c>
      <c r="F395" s="7" t="s">
        <v>93</v>
      </c>
      <c r="G395" s="7" t="s">
        <v>78</v>
      </c>
      <c r="O395" s="8" t="s">
        <v>79</v>
      </c>
      <c r="P395" s="8" t="s">
        <v>80</v>
      </c>
      <c r="Q395" s="8" t="s">
        <v>81</v>
      </c>
      <c r="R395" s="10" t="s">
        <v>82</v>
      </c>
      <c r="T395" s="7" t="str">
        <f aca="false">_xlfn.TEXTJOIN( , ,B395,C395)</f>
        <v>electrical_roomSpot Cam - PTZ - 50 spot-cam-ptz.jpg</v>
      </c>
    </row>
    <row r="396" s="7" customFormat="true" ht="15.75" hidden="true" customHeight="true" outlineLevel="0" collapsed="false">
      <c r="A396" s="7" t="s">
        <v>20</v>
      </c>
      <c r="B396" s="7" t="s">
        <v>234</v>
      </c>
      <c r="C396" s="7" t="s">
        <v>195</v>
      </c>
      <c r="D396" s="10" t="s">
        <v>308</v>
      </c>
      <c r="E396" s="10" t="s">
        <v>76</v>
      </c>
      <c r="F396" s="7" t="s">
        <v>77</v>
      </c>
      <c r="G396" s="7" t="s">
        <v>78</v>
      </c>
      <c r="O396" s="8" t="s">
        <v>79</v>
      </c>
      <c r="P396" s="8" t="s">
        <v>80</v>
      </c>
      <c r="Q396" s="8" t="s">
        <v>81</v>
      </c>
      <c r="R396" s="10" t="s">
        <v>82</v>
      </c>
      <c r="T396" s="7" t="str">
        <f aca="false">_xlfn.TEXTJOIN( , ,B396,C396)</f>
        <v>electrical_roomSpot Cam - PTZ - 51 spot-cam-ptz.jpg</v>
      </c>
    </row>
    <row r="397" s="7" customFormat="true" ht="15.75" hidden="true" customHeight="true" outlineLevel="0" collapsed="false">
      <c r="A397" s="7" t="s">
        <v>20</v>
      </c>
      <c r="B397" s="7" t="s">
        <v>234</v>
      </c>
      <c r="C397" s="7" t="s">
        <v>195</v>
      </c>
      <c r="D397" s="10" t="s">
        <v>308</v>
      </c>
      <c r="E397" s="10" t="s">
        <v>87</v>
      </c>
      <c r="F397" s="7" t="s">
        <v>303</v>
      </c>
      <c r="G397" s="7" t="s">
        <v>78</v>
      </c>
      <c r="O397" s="8" t="s">
        <v>79</v>
      </c>
      <c r="P397" s="8" t="s">
        <v>80</v>
      </c>
      <c r="Q397" s="8" t="s">
        <v>81</v>
      </c>
      <c r="R397" s="10" t="s">
        <v>82</v>
      </c>
      <c r="T397" s="7" t="str">
        <f aca="false">_xlfn.TEXTJOIN( , ,B397,C397)</f>
        <v>electrical_roomSpot Cam - PTZ - 51 spot-cam-ptz.jpg</v>
      </c>
    </row>
    <row r="398" s="7" customFormat="true" ht="15.75" hidden="true" customHeight="true" outlineLevel="0" collapsed="false">
      <c r="A398" s="7" t="s">
        <v>20</v>
      </c>
      <c r="B398" s="7" t="s">
        <v>234</v>
      </c>
      <c r="C398" s="7" t="s">
        <v>195</v>
      </c>
      <c r="D398" s="10" t="s">
        <v>308</v>
      </c>
      <c r="E398" s="10" t="s">
        <v>89</v>
      </c>
      <c r="F398" s="7" t="s">
        <v>90</v>
      </c>
      <c r="G398" s="7" t="s">
        <v>102</v>
      </c>
      <c r="O398" s="8" t="s">
        <v>79</v>
      </c>
      <c r="P398" s="8" t="s">
        <v>80</v>
      </c>
      <c r="Q398" s="8" t="s">
        <v>81</v>
      </c>
      <c r="R398" s="10" t="s">
        <v>82</v>
      </c>
      <c r="T398" s="7" t="str">
        <f aca="false">_xlfn.TEXTJOIN( , ,B398,C398)</f>
        <v>electrical_roomSpot Cam - PTZ - 51 spot-cam-ptz.jpg</v>
      </c>
    </row>
    <row r="399" s="7" customFormat="true" ht="15.75" hidden="true" customHeight="true" outlineLevel="0" collapsed="false">
      <c r="A399" s="7" t="s">
        <v>20</v>
      </c>
      <c r="B399" s="7" t="s">
        <v>234</v>
      </c>
      <c r="C399" s="7" t="s">
        <v>199</v>
      </c>
      <c r="D399" s="10" t="s">
        <v>310</v>
      </c>
      <c r="E399" s="10" t="s">
        <v>83</v>
      </c>
      <c r="F399" s="7" t="s">
        <v>84</v>
      </c>
      <c r="G399" s="7" t="s">
        <v>78</v>
      </c>
      <c r="O399" s="8" t="s">
        <v>79</v>
      </c>
      <c r="P399" s="8" t="s">
        <v>80</v>
      </c>
      <c r="Q399" s="8" t="s">
        <v>81</v>
      </c>
      <c r="R399" s="10" t="s">
        <v>82</v>
      </c>
      <c r="T399" s="7" t="str">
        <f aca="false">_xlfn.TEXTJOIN( , ,B399,C399)</f>
        <v>electrical_roomSpot Cam - PTZ - 52 spot-cam-ptz.jpg</v>
      </c>
    </row>
    <row r="400" s="7" customFormat="true" ht="15.75" hidden="true" customHeight="true" outlineLevel="0" collapsed="false">
      <c r="A400" s="7" t="s">
        <v>20</v>
      </c>
      <c r="B400" s="7" t="s">
        <v>234</v>
      </c>
      <c r="C400" s="7" t="s">
        <v>199</v>
      </c>
      <c r="D400" s="10" t="s">
        <v>310</v>
      </c>
      <c r="E400" s="10" t="s">
        <v>311</v>
      </c>
      <c r="F400" s="7" t="s">
        <v>84</v>
      </c>
      <c r="G400" s="7" t="s">
        <v>78</v>
      </c>
      <c r="I400" s="8" t="s">
        <v>79</v>
      </c>
      <c r="J400" s="8" t="s">
        <v>80</v>
      </c>
      <c r="K400" s="8" t="s">
        <v>81</v>
      </c>
      <c r="L400" s="10" t="s">
        <v>82</v>
      </c>
      <c r="T400" s="7" t="str">
        <f aca="false">_xlfn.TEXTJOIN( , ,B400,C400)</f>
        <v>electrical_roomSpot Cam - PTZ - 52 spot-cam-ptz.jpg</v>
      </c>
    </row>
    <row r="401" s="7" customFormat="true" ht="15.75" hidden="true" customHeight="true" outlineLevel="0" collapsed="false">
      <c r="A401" s="7" t="s">
        <v>20</v>
      </c>
      <c r="B401" s="7" t="s">
        <v>234</v>
      </c>
      <c r="C401" s="7" t="s">
        <v>212</v>
      </c>
      <c r="D401" s="10" t="s">
        <v>310</v>
      </c>
      <c r="E401" s="10" t="s">
        <v>76</v>
      </c>
      <c r="F401" s="7" t="s">
        <v>77</v>
      </c>
      <c r="G401" s="7" t="s">
        <v>78</v>
      </c>
      <c r="O401" s="8" t="s">
        <v>79</v>
      </c>
      <c r="P401" s="8" t="s">
        <v>80</v>
      </c>
      <c r="Q401" s="8" t="s">
        <v>81</v>
      </c>
      <c r="R401" s="10" t="s">
        <v>82</v>
      </c>
      <c r="T401" s="7" t="str">
        <f aca="false">_xlfn.TEXTJOIN( , ,B401,C401)</f>
        <v>electrical_roomSpot Cam - PTZ - 53 spot-cam-ptz.jpg</v>
      </c>
    </row>
    <row r="402" s="7" customFormat="true" ht="15.75" hidden="true" customHeight="true" outlineLevel="0" collapsed="false">
      <c r="A402" s="7" t="s">
        <v>20</v>
      </c>
      <c r="B402" s="7" t="s">
        <v>234</v>
      </c>
      <c r="C402" s="7" t="s">
        <v>212</v>
      </c>
      <c r="D402" s="10" t="s">
        <v>310</v>
      </c>
      <c r="E402" s="10" t="s">
        <v>87</v>
      </c>
      <c r="F402" s="7" t="s">
        <v>88</v>
      </c>
      <c r="G402" s="7" t="s">
        <v>78</v>
      </c>
      <c r="O402" s="8" t="s">
        <v>79</v>
      </c>
      <c r="P402" s="8" t="s">
        <v>80</v>
      </c>
      <c r="Q402" s="8" t="s">
        <v>81</v>
      </c>
      <c r="R402" s="10" t="s">
        <v>82</v>
      </c>
      <c r="T402" s="7" t="str">
        <f aca="false">_xlfn.TEXTJOIN( , ,B402,C402)</f>
        <v>electrical_roomSpot Cam - PTZ - 53 spot-cam-ptz.jpg</v>
      </c>
    </row>
    <row r="403" s="7" customFormat="true" ht="15.75" hidden="true" customHeight="true" outlineLevel="0" collapsed="false">
      <c r="A403" s="7" t="s">
        <v>20</v>
      </c>
      <c r="B403" s="7" t="s">
        <v>234</v>
      </c>
      <c r="C403" s="7" t="s">
        <v>212</v>
      </c>
      <c r="D403" s="10" t="s">
        <v>310</v>
      </c>
      <c r="E403" s="10" t="s">
        <v>89</v>
      </c>
      <c r="F403" s="7" t="s">
        <v>90</v>
      </c>
      <c r="G403" s="7" t="s">
        <v>102</v>
      </c>
      <c r="O403" s="8" t="s">
        <v>79</v>
      </c>
      <c r="P403" s="8" t="s">
        <v>80</v>
      </c>
      <c r="Q403" s="8" t="s">
        <v>81</v>
      </c>
      <c r="R403" s="10" t="s">
        <v>82</v>
      </c>
      <c r="T403" s="7" t="str">
        <f aca="false">_xlfn.TEXTJOIN( , ,B403,C403)</f>
        <v>electrical_roomSpot Cam - PTZ - 53 spot-cam-ptz.jpg</v>
      </c>
    </row>
    <row r="404" s="7" customFormat="true" ht="15.75" hidden="true" customHeight="true" outlineLevel="0" collapsed="false">
      <c r="A404" s="7" t="s">
        <v>20</v>
      </c>
      <c r="B404" s="7" t="s">
        <v>234</v>
      </c>
      <c r="C404" s="12" t="s">
        <v>213</v>
      </c>
      <c r="D404" s="10" t="s">
        <v>312</v>
      </c>
      <c r="E404" s="10" t="s">
        <v>83</v>
      </c>
      <c r="F404" s="16" t="s">
        <v>84</v>
      </c>
      <c r="G404" s="7" t="s">
        <v>78</v>
      </c>
      <c r="I404" s="8" t="s">
        <v>79</v>
      </c>
      <c r="J404" s="8" t="s">
        <v>80</v>
      </c>
      <c r="K404" s="8" t="s">
        <v>81</v>
      </c>
      <c r="L404" s="10" t="s">
        <v>82</v>
      </c>
      <c r="T404" s="7" t="str">
        <f aca="false">_xlfn.TEXTJOIN( , ,B404,C404)</f>
        <v>electrical_roomSpot Cam - PTZ - 54 spot-cam-ptz.jpg</v>
      </c>
    </row>
    <row r="405" s="7" customFormat="true" ht="15.75" hidden="true" customHeight="true" outlineLevel="0" collapsed="false">
      <c r="A405" s="7" t="s">
        <v>20</v>
      </c>
      <c r="B405" s="7" t="s">
        <v>234</v>
      </c>
      <c r="C405" s="12" t="s">
        <v>213</v>
      </c>
      <c r="D405" s="10" t="s">
        <v>312</v>
      </c>
      <c r="E405" s="10" t="s">
        <v>85</v>
      </c>
      <c r="F405" s="16" t="s">
        <v>84</v>
      </c>
      <c r="G405" s="7" t="s">
        <v>78</v>
      </c>
      <c r="T405" s="7" t="str">
        <f aca="false">_xlfn.TEXTJOIN( , ,B405,C405)</f>
        <v>electrical_roomSpot Cam - PTZ - 54 spot-cam-ptz.jpg</v>
      </c>
    </row>
    <row r="406" s="7" customFormat="true" ht="15.75" hidden="true" customHeight="true" outlineLevel="0" collapsed="false">
      <c r="A406" s="7" t="s">
        <v>20</v>
      </c>
      <c r="B406" s="7" t="s">
        <v>234</v>
      </c>
      <c r="C406" s="7" t="s">
        <v>214</v>
      </c>
      <c r="D406" s="10" t="s">
        <v>312</v>
      </c>
      <c r="E406" s="10" t="s">
        <v>76</v>
      </c>
      <c r="F406" s="7" t="s">
        <v>94</v>
      </c>
      <c r="G406" s="7" t="s">
        <v>78</v>
      </c>
      <c r="O406" s="8" t="s">
        <v>79</v>
      </c>
      <c r="P406" s="8" t="s">
        <v>80</v>
      </c>
      <c r="Q406" s="8" t="s">
        <v>81</v>
      </c>
      <c r="R406" s="10" t="s">
        <v>82</v>
      </c>
      <c r="T406" s="7" t="str">
        <f aca="false">_xlfn.TEXTJOIN( , ,B406,C406)</f>
        <v>electrical_roomSpot Cam - PTZ - 55 spot-cam-ptz.jpg</v>
      </c>
    </row>
    <row r="407" s="7" customFormat="true" ht="15.75" hidden="true" customHeight="true" outlineLevel="0" collapsed="false">
      <c r="A407" s="7" t="s">
        <v>20</v>
      </c>
      <c r="B407" s="7" t="s">
        <v>234</v>
      </c>
      <c r="C407" s="7" t="s">
        <v>214</v>
      </c>
      <c r="D407" s="10" t="s">
        <v>312</v>
      </c>
      <c r="E407" s="10" t="s">
        <v>87</v>
      </c>
      <c r="F407" s="7" t="s">
        <v>95</v>
      </c>
      <c r="G407" s="7" t="s">
        <v>78</v>
      </c>
      <c r="O407" s="8" t="s">
        <v>79</v>
      </c>
      <c r="P407" s="8" t="s">
        <v>80</v>
      </c>
      <c r="Q407" s="8" t="s">
        <v>81</v>
      </c>
      <c r="R407" s="10" t="s">
        <v>82</v>
      </c>
      <c r="T407" s="7" t="str">
        <f aca="false">_xlfn.TEXTJOIN( , ,B407,C407)</f>
        <v>electrical_roomSpot Cam - PTZ - 55 spot-cam-ptz.jpg</v>
      </c>
    </row>
    <row r="408" s="7" customFormat="true" ht="15.75" hidden="true" customHeight="true" outlineLevel="0" collapsed="false">
      <c r="A408" s="7" t="s">
        <v>20</v>
      </c>
      <c r="B408" s="7" t="s">
        <v>234</v>
      </c>
      <c r="C408" s="7" t="s">
        <v>214</v>
      </c>
      <c r="D408" s="10" t="s">
        <v>312</v>
      </c>
      <c r="E408" s="10" t="s">
        <v>89</v>
      </c>
      <c r="F408" s="7" t="s">
        <v>101</v>
      </c>
      <c r="G408" s="7" t="s">
        <v>102</v>
      </c>
      <c r="O408" s="8" t="s">
        <v>79</v>
      </c>
      <c r="P408" s="8" t="s">
        <v>80</v>
      </c>
      <c r="Q408" s="8" t="s">
        <v>81</v>
      </c>
      <c r="R408" s="10" t="s">
        <v>82</v>
      </c>
      <c r="T408" s="7" t="str">
        <f aca="false">_xlfn.TEXTJOIN( , ,B408,C408)</f>
        <v>electrical_roomSpot Cam - PTZ - 55 spot-cam-ptz.jpg</v>
      </c>
    </row>
    <row r="409" s="7" customFormat="true" ht="15.75" hidden="true" customHeight="true" outlineLevel="0" collapsed="false">
      <c r="A409" s="7" t="s">
        <v>20</v>
      </c>
      <c r="B409" s="7" t="s">
        <v>234</v>
      </c>
      <c r="C409" s="12" t="s">
        <v>218</v>
      </c>
      <c r="D409" s="10" t="s">
        <v>313</v>
      </c>
      <c r="E409" s="10" t="s">
        <v>83</v>
      </c>
      <c r="F409" s="7" t="s">
        <v>84</v>
      </c>
      <c r="G409" s="7" t="s">
        <v>78</v>
      </c>
      <c r="I409" s="8" t="s">
        <v>79</v>
      </c>
      <c r="J409" s="8" t="s">
        <v>80</v>
      </c>
      <c r="K409" s="8" t="s">
        <v>81</v>
      </c>
      <c r="L409" s="10" t="s">
        <v>82</v>
      </c>
      <c r="T409" s="7" t="str">
        <f aca="false">_xlfn.TEXTJOIN( , ,B409,C409)</f>
        <v>electrical_roomSpot Cam - PTZ - 56 spot-cam-ptz.jpg</v>
      </c>
    </row>
    <row r="410" s="7" customFormat="true" ht="15.75" hidden="true" customHeight="true" outlineLevel="0" collapsed="false">
      <c r="A410" s="7" t="s">
        <v>20</v>
      </c>
      <c r="B410" s="7" t="s">
        <v>234</v>
      </c>
      <c r="C410" s="12" t="s">
        <v>218</v>
      </c>
      <c r="D410" s="10" t="s">
        <v>313</v>
      </c>
      <c r="E410" s="10" t="s">
        <v>85</v>
      </c>
      <c r="F410" s="7" t="s">
        <v>84</v>
      </c>
      <c r="G410" s="7" t="s">
        <v>78</v>
      </c>
      <c r="T410" s="7" t="str">
        <f aca="false">_xlfn.TEXTJOIN( , ,B410,C410)</f>
        <v>electrical_roomSpot Cam - PTZ - 56 spot-cam-ptz.jpg</v>
      </c>
    </row>
    <row r="411" s="7" customFormat="true" ht="15.75" hidden="true" customHeight="true" outlineLevel="0" collapsed="false">
      <c r="A411" s="7" t="s">
        <v>20</v>
      </c>
      <c r="B411" s="7" t="s">
        <v>234</v>
      </c>
      <c r="C411" s="7" t="s">
        <v>223</v>
      </c>
      <c r="D411" s="10" t="s">
        <v>313</v>
      </c>
      <c r="E411" s="10" t="s">
        <v>76</v>
      </c>
      <c r="F411" s="7" t="s">
        <v>77</v>
      </c>
      <c r="G411" s="7" t="s">
        <v>78</v>
      </c>
      <c r="O411" s="8" t="s">
        <v>79</v>
      </c>
      <c r="P411" s="8" t="s">
        <v>80</v>
      </c>
      <c r="Q411" s="8" t="s">
        <v>81</v>
      </c>
      <c r="R411" s="10" t="s">
        <v>82</v>
      </c>
      <c r="T411" s="7" t="str">
        <f aca="false">_xlfn.TEXTJOIN( , ,B411,C411)</f>
        <v>electrical_roomSpot Cam - PTZ - 57 spot-cam-ptz.jpg</v>
      </c>
    </row>
    <row r="412" s="7" customFormat="true" ht="15.75" hidden="true" customHeight="true" outlineLevel="0" collapsed="false">
      <c r="A412" s="7" t="s">
        <v>20</v>
      </c>
      <c r="B412" s="7" t="s">
        <v>234</v>
      </c>
      <c r="C412" s="7" t="s">
        <v>223</v>
      </c>
      <c r="D412" s="10" t="s">
        <v>313</v>
      </c>
      <c r="E412" s="10" t="s">
        <v>87</v>
      </c>
      <c r="F412" s="7" t="s">
        <v>88</v>
      </c>
      <c r="G412" s="7" t="s">
        <v>78</v>
      </c>
      <c r="O412" s="8" t="s">
        <v>79</v>
      </c>
      <c r="P412" s="8" t="s">
        <v>80</v>
      </c>
      <c r="Q412" s="8" t="s">
        <v>81</v>
      </c>
      <c r="R412" s="10" t="s">
        <v>82</v>
      </c>
      <c r="T412" s="7" t="str">
        <f aca="false">_xlfn.TEXTJOIN( , ,B412,C412)</f>
        <v>electrical_roomSpot Cam - PTZ - 57 spot-cam-ptz.jpg</v>
      </c>
    </row>
    <row r="413" s="7" customFormat="true" ht="15.75" hidden="true" customHeight="true" outlineLevel="0" collapsed="false">
      <c r="A413" s="7" t="s">
        <v>20</v>
      </c>
      <c r="B413" s="7" t="s">
        <v>234</v>
      </c>
      <c r="C413" s="7" t="s">
        <v>223</v>
      </c>
      <c r="D413" s="10" t="s">
        <v>313</v>
      </c>
      <c r="E413" s="10" t="s">
        <v>89</v>
      </c>
      <c r="F413" s="7" t="s">
        <v>90</v>
      </c>
      <c r="G413" s="7" t="s">
        <v>102</v>
      </c>
      <c r="O413" s="8" t="s">
        <v>79</v>
      </c>
      <c r="P413" s="8" t="s">
        <v>80</v>
      </c>
      <c r="Q413" s="8" t="s">
        <v>81</v>
      </c>
      <c r="R413" s="10" t="s">
        <v>82</v>
      </c>
      <c r="T413" s="7" t="str">
        <f aca="false">_xlfn.TEXTJOIN( , ,B413,C413)</f>
        <v>electrical_roomSpot Cam - PTZ - 57 spot-cam-ptz.jpg</v>
      </c>
    </row>
    <row r="414" s="7" customFormat="true" ht="15.75" hidden="false" customHeight="true" outlineLevel="0" collapsed="false">
      <c r="A414" s="7" t="s">
        <v>20</v>
      </c>
      <c r="B414" s="7" t="s">
        <v>234</v>
      </c>
      <c r="C414" s="7" t="s">
        <v>228</v>
      </c>
      <c r="D414" s="10" t="s">
        <v>314</v>
      </c>
      <c r="E414" s="7" t="s">
        <v>151</v>
      </c>
      <c r="F414" s="7" t="s">
        <v>152</v>
      </c>
      <c r="G414" s="7" t="s">
        <v>44</v>
      </c>
      <c r="O414" s="8" t="s">
        <v>79</v>
      </c>
      <c r="P414" s="8" t="s">
        <v>80</v>
      </c>
      <c r="Q414" s="8" t="s">
        <v>81</v>
      </c>
      <c r="R414" s="10" t="s">
        <v>82</v>
      </c>
      <c r="S414" s="11" t="s">
        <v>153</v>
      </c>
      <c r="T414" s="7" t="str">
        <f aca="false">_xlfn.TEXTJOIN( , ,B414,C414)</f>
        <v>electrical_roomSpot Cam - PTZ - 58 spot-cam-ptz.jpg</v>
      </c>
    </row>
    <row r="415" s="7" customFormat="true" ht="15.75" hidden="true" customHeight="true" outlineLevel="0" collapsed="false">
      <c r="A415" s="7" t="s">
        <v>20</v>
      </c>
      <c r="B415" s="7" t="s">
        <v>234</v>
      </c>
      <c r="C415" s="12" t="s">
        <v>228</v>
      </c>
      <c r="D415" s="10" t="s">
        <v>314</v>
      </c>
      <c r="E415" s="13" t="s">
        <v>309</v>
      </c>
      <c r="F415" s="7" t="s">
        <v>84</v>
      </c>
      <c r="G415" s="7" t="s">
        <v>78</v>
      </c>
      <c r="I415" s="8" t="s">
        <v>79</v>
      </c>
      <c r="J415" s="8" t="s">
        <v>80</v>
      </c>
      <c r="K415" s="8" t="s">
        <v>81</v>
      </c>
      <c r="L415" s="10" t="s">
        <v>82</v>
      </c>
      <c r="T415" s="7" t="str">
        <f aca="false">_xlfn.TEXTJOIN( , ,B415,C415)</f>
        <v>electrical_roomSpot Cam - PTZ - 58 spot-cam-ptz.jpg</v>
      </c>
    </row>
    <row r="416" s="7" customFormat="true" ht="15.75" hidden="true" customHeight="true" outlineLevel="0" collapsed="false">
      <c r="A416" s="7" t="s">
        <v>20</v>
      </c>
      <c r="B416" s="7" t="s">
        <v>234</v>
      </c>
      <c r="C416" s="12" t="s">
        <v>228</v>
      </c>
      <c r="D416" s="10" t="s">
        <v>314</v>
      </c>
      <c r="E416" s="13" t="s">
        <v>83</v>
      </c>
      <c r="F416" s="7" t="s">
        <v>84</v>
      </c>
      <c r="G416" s="7" t="s">
        <v>78</v>
      </c>
      <c r="T416" s="7" t="str">
        <f aca="false">_xlfn.TEXTJOIN( , ,B416,C416)</f>
        <v>electrical_roomSpot Cam - PTZ - 58 spot-cam-ptz.jpg</v>
      </c>
    </row>
    <row r="417" s="7" customFormat="true" ht="15.75" hidden="true" customHeight="true" outlineLevel="0" collapsed="false">
      <c r="A417" s="7" t="s">
        <v>20</v>
      </c>
      <c r="B417" s="7" t="s">
        <v>234</v>
      </c>
      <c r="C417" s="12" t="s">
        <v>228</v>
      </c>
      <c r="D417" s="10" t="s">
        <v>314</v>
      </c>
      <c r="E417" s="13" t="s">
        <v>85</v>
      </c>
      <c r="F417" s="7" t="s">
        <v>84</v>
      </c>
      <c r="G417" s="7" t="s">
        <v>78</v>
      </c>
      <c r="T417" s="7" t="str">
        <f aca="false">_xlfn.TEXTJOIN( , ,B417,C417)</f>
        <v>electrical_roomSpot Cam - PTZ - 58 spot-cam-ptz.jpg</v>
      </c>
    </row>
    <row r="418" s="7" customFormat="true" ht="15.75" hidden="true" customHeight="true" outlineLevel="0" collapsed="false">
      <c r="A418" s="7" t="s">
        <v>20</v>
      </c>
      <c r="B418" s="7" t="s">
        <v>234</v>
      </c>
      <c r="C418" s="7" t="s">
        <v>229</v>
      </c>
      <c r="D418" s="10" t="s">
        <v>314</v>
      </c>
      <c r="E418" s="10" t="s">
        <v>76</v>
      </c>
      <c r="F418" s="7" t="s">
        <v>94</v>
      </c>
      <c r="G418" s="7" t="s">
        <v>78</v>
      </c>
      <c r="O418" s="8" t="s">
        <v>79</v>
      </c>
      <c r="P418" s="8" t="s">
        <v>80</v>
      </c>
      <c r="Q418" s="8" t="s">
        <v>81</v>
      </c>
      <c r="R418" s="10" t="s">
        <v>82</v>
      </c>
      <c r="T418" s="7" t="str">
        <f aca="false">_xlfn.TEXTJOIN( , ,B418,C418)</f>
        <v>electrical_roomSpot Cam - PTZ - 59 spot-cam-ptz.jpg</v>
      </c>
    </row>
    <row r="419" s="7" customFormat="true" ht="15.75" hidden="true" customHeight="true" outlineLevel="0" collapsed="false">
      <c r="A419" s="7" t="s">
        <v>20</v>
      </c>
      <c r="B419" s="7" t="s">
        <v>234</v>
      </c>
      <c r="C419" s="7" t="s">
        <v>229</v>
      </c>
      <c r="D419" s="10" t="s">
        <v>314</v>
      </c>
      <c r="E419" s="10" t="s">
        <v>87</v>
      </c>
      <c r="F419" s="7" t="s">
        <v>95</v>
      </c>
      <c r="G419" s="7" t="s">
        <v>78</v>
      </c>
      <c r="O419" s="8" t="s">
        <v>79</v>
      </c>
      <c r="P419" s="8" t="s">
        <v>80</v>
      </c>
      <c r="Q419" s="8" t="s">
        <v>81</v>
      </c>
      <c r="R419" s="10" t="s">
        <v>82</v>
      </c>
      <c r="T419" s="7" t="str">
        <f aca="false">_xlfn.TEXTJOIN( , ,B419,C419)</f>
        <v>electrical_roomSpot Cam - PTZ - 59 spot-cam-ptz.jpg</v>
      </c>
    </row>
    <row r="420" s="7" customFormat="true" ht="15.75" hidden="true" customHeight="true" outlineLevel="0" collapsed="false">
      <c r="A420" s="7" t="s">
        <v>20</v>
      </c>
      <c r="B420" s="7" t="s">
        <v>234</v>
      </c>
      <c r="C420" s="7" t="s">
        <v>229</v>
      </c>
      <c r="D420" s="10" t="s">
        <v>314</v>
      </c>
      <c r="E420" s="10" t="s">
        <v>89</v>
      </c>
      <c r="F420" s="7" t="s">
        <v>90</v>
      </c>
      <c r="G420" s="7" t="s">
        <v>102</v>
      </c>
      <c r="O420" s="8" t="s">
        <v>79</v>
      </c>
      <c r="P420" s="8" t="s">
        <v>80</v>
      </c>
      <c r="Q420" s="8" t="s">
        <v>81</v>
      </c>
      <c r="R420" s="10" t="s">
        <v>82</v>
      </c>
      <c r="T420" s="7" t="str">
        <f aca="false">_xlfn.TEXTJOIN( , ,B420,C420)</f>
        <v>electrical_roomSpot Cam - PTZ - 59 spot-cam-ptz.jpg</v>
      </c>
    </row>
    <row r="421" s="7" customFormat="true" ht="15.75" hidden="true" customHeight="true" outlineLevel="0" collapsed="false">
      <c r="A421" s="7" t="s">
        <v>20</v>
      </c>
      <c r="B421" s="7" t="s">
        <v>234</v>
      </c>
      <c r="C421" s="7" t="s">
        <v>69</v>
      </c>
      <c r="D421" s="10" t="s">
        <v>315</v>
      </c>
      <c r="E421" s="10" t="s">
        <v>132</v>
      </c>
      <c r="F421" s="7" t="s">
        <v>94</v>
      </c>
      <c r="G421" s="7" t="s">
        <v>78</v>
      </c>
      <c r="O421" s="8" t="s">
        <v>79</v>
      </c>
      <c r="P421" s="8" t="s">
        <v>80</v>
      </c>
      <c r="Q421" s="8" t="s">
        <v>81</v>
      </c>
      <c r="R421" s="10" t="s">
        <v>82</v>
      </c>
      <c r="T421" s="7" t="str">
        <f aca="false">_xlfn.TEXTJOIN( , ,B421,C421)</f>
        <v>electrical_roomSpot Cam - PTZ - 6 spot-cam-ptz.jpg</v>
      </c>
    </row>
    <row r="422" s="7" customFormat="true" ht="15.75" hidden="true" customHeight="true" outlineLevel="0" collapsed="false">
      <c r="A422" s="7" t="s">
        <v>20</v>
      </c>
      <c r="B422" s="7" t="s">
        <v>234</v>
      </c>
      <c r="C422" s="7" t="s">
        <v>69</v>
      </c>
      <c r="D422" s="10" t="s">
        <v>315</v>
      </c>
      <c r="E422" s="10" t="s">
        <v>133</v>
      </c>
      <c r="F422" s="7" t="s">
        <v>77</v>
      </c>
      <c r="G422" s="7" t="s">
        <v>78</v>
      </c>
      <c r="O422" s="8" t="s">
        <v>79</v>
      </c>
      <c r="P422" s="8" t="s">
        <v>80</v>
      </c>
      <c r="Q422" s="8" t="s">
        <v>81</v>
      </c>
      <c r="R422" s="10" t="s">
        <v>82</v>
      </c>
      <c r="T422" s="7" t="str">
        <f aca="false">_xlfn.TEXTJOIN( , ,B422,C422)</f>
        <v>electrical_roomSpot Cam - PTZ - 6 spot-cam-ptz.jpg</v>
      </c>
    </row>
    <row r="423" s="7" customFormat="true" ht="15.75" hidden="true" customHeight="true" outlineLevel="0" collapsed="false">
      <c r="A423" s="7" t="s">
        <v>20</v>
      </c>
      <c r="B423" s="7" t="s">
        <v>234</v>
      </c>
      <c r="C423" s="7" t="s">
        <v>69</v>
      </c>
      <c r="D423" s="10" t="s">
        <v>315</v>
      </c>
      <c r="E423" s="10" t="s">
        <v>92</v>
      </c>
      <c r="F423" s="7" t="s">
        <v>93</v>
      </c>
      <c r="G423" s="7" t="s">
        <v>78</v>
      </c>
      <c r="O423" s="8" t="s">
        <v>79</v>
      </c>
      <c r="P423" s="8" t="s">
        <v>80</v>
      </c>
      <c r="Q423" s="8" t="s">
        <v>81</v>
      </c>
      <c r="R423" s="10" t="s">
        <v>82</v>
      </c>
      <c r="T423" s="7" t="str">
        <f aca="false">_xlfn.TEXTJOIN( , ,B423,C423)</f>
        <v>electrical_roomSpot Cam - PTZ - 6 spot-cam-ptz.jpg</v>
      </c>
    </row>
    <row r="424" s="7" customFormat="true" ht="15.75" hidden="true" customHeight="true" outlineLevel="0" collapsed="false">
      <c r="A424" s="7" t="s">
        <v>20</v>
      </c>
      <c r="B424" s="7" t="s">
        <v>234</v>
      </c>
      <c r="C424" s="7" t="s">
        <v>69</v>
      </c>
      <c r="D424" s="10" t="s">
        <v>315</v>
      </c>
      <c r="E424" s="10" t="s">
        <v>134</v>
      </c>
      <c r="F424" s="7" t="s">
        <v>88</v>
      </c>
      <c r="G424" s="7" t="s">
        <v>78</v>
      </c>
      <c r="O424" s="8" t="s">
        <v>79</v>
      </c>
      <c r="P424" s="8" t="s">
        <v>80</v>
      </c>
      <c r="Q424" s="8" t="s">
        <v>81</v>
      </c>
      <c r="R424" s="10" t="s">
        <v>82</v>
      </c>
      <c r="T424" s="7" t="str">
        <f aca="false">_xlfn.TEXTJOIN( , ,B424,C424)</f>
        <v>electrical_roomSpot Cam - PTZ - 6 spot-cam-ptz.jpg</v>
      </c>
    </row>
    <row r="425" s="7" customFormat="true" ht="15.75" hidden="true" customHeight="true" outlineLevel="0" collapsed="false">
      <c r="A425" s="7" t="s">
        <v>20</v>
      </c>
      <c r="B425" s="7" t="s">
        <v>234</v>
      </c>
      <c r="C425" s="7" t="s">
        <v>69</v>
      </c>
      <c r="D425" s="10" t="s">
        <v>315</v>
      </c>
      <c r="E425" s="10" t="s">
        <v>135</v>
      </c>
      <c r="F425" s="7" t="s">
        <v>95</v>
      </c>
      <c r="G425" s="7" t="s">
        <v>78</v>
      </c>
      <c r="O425" s="8" t="s">
        <v>79</v>
      </c>
      <c r="P425" s="8" t="s">
        <v>80</v>
      </c>
      <c r="Q425" s="8" t="s">
        <v>81</v>
      </c>
      <c r="R425" s="10" t="s">
        <v>82</v>
      </c>
      <c r="T425" s="7" t="str">
        <f aca="false">_xlfn.TEXTJOIN( , ,B425,C425)</f>
        <v>electrical_roomSpot Cam - PTZ - 6 spot-cam-ptz.jpg</v>
      </c>
    </row>
    <row r="426" s="7" customFormat="true" ht="15.75" hidden="true" customHeight="true" outlineLevel="0" collapsed="false">
      <c r="A426" s="7" t="s">
        <v>20</v>
      </c>
      <c r="B426" s="7" t="s">
        <v>234</v>
      </c>
      <c r="C426" s="7" t="s">
        <v>69</v>
      </c>
      <c r="D426" s="10" t="s">
        <v>315</v>
      </c>
      <c r="E426" s="10" t="s">
        <v>136</v>
      </c>
      <c r="F426" s="7" t="s">
        <v>137</v>
      </c>
      <c r="G426" s="7" t="s">
        <v>102</v>
      </c>
      <c r="O426" s="8" t="s">
        <v>79</v>
      </c>
      <c r="P426" s="8" t="s">
        <v>80</v>
      </c>
      <c r="Q426" s="8" t="s">
        <v>81</v>
      </c>
      <c r="R426" s="10" t="s">
        <v>82</v>
      </c>
      <c r="T426" s="7" t="str">
        <f aca="false">_xlfn.TEXTJOIN( , ,B426,C426)</f>
        <v>electrical_roomSpot Cam - PTZ - 6 spot-cam-ptz.jpg</v>
      </c>
    </row>
    <row r="427" s="7" customFormat="true" ht="15.75" hidden="true" customHeight="true" outlineLevel="0" collapsed="false">
      <c r="A427" s="7" t="s">
        <v>20</v>
      </c>
      <c r="B427" s="7" t="s">
        <v>234</v>
      </c>
      <c r="C427" s="12" t="s">
        <v>230</v>
      </c>
      <c r="D427" s="10" t="s">
        <v>316</v>
      </c>
      <c r="E427" s="10" t="s">
        <v>83</v>
      </c>
      <c r="F427" s="7" t="s">
        <v>84</v>
      </c>
      <c r="G427" s="7" t="s">
        <v>78</v>
      </c>
      <c r="I427" s="8" t="s">
        <v>79</v>
      </c>
      <c r="J427" s="8" t="s">
        <v>80</v>
      </c>
      <c r="K427" s="8" t="s">
        <v>81</v>
      </c>
      <c r="L427" s="10" t="s">
        <v>82</v>
      </c>
      <c r="T427" s="7" t="str">
        <f aca="false">_xlfn.TEXTJOIN( , ,B427,C427)</f>
        <v>electrical_roomSpot Cam - PTZ - 60 spot-cam-ptz.jpg</v>
      </c>
    </row>
    <row r="428" s="7" customFormat="true" ht="15.75" hidden="true" customHeight="true" outlineLevel="0" collapsed="false">
      <c r="A428" s="7" t="s">
        <v>20</v>
      </c>
      <c r="B428" s="7" t="s">
        <v>234</v>
      </c>
      <c r="C428" s="12" t="s">
        <v>230</v>
      </c>
      <c r="D428" s="10" t="s">
        <v>316</v>
      </c>
      <c r="E428" s="10" t="s">
        <v>85</v>
      </c>
      <c r="F428" s="7" t="s">
        <v>84</v>
      </c>
      <c r="G428" s="7" t="s">
        <v>78</v>
      </c>
      <c r="T428" s="7" t="str">
        <f aca="false">_xlfn.TEXTJOIN( , ,B428,C428)</f>
        <v>electrical_roomSpot Cam - PTZ - 60 spot-cam-ptz.jpg</v>
      </c>
    </row>
    <row r="429" s="7" customFormat="true" ht="15" hidden="true" customHeight="true" outlineLevel="0" collapsed="false">
      <c r="A429" s="7" t="s">
        <v>20</v>
      </c>
      <c r="B429" s="7" t="s">
        <v>234</v>
      </c>
      <c r="C429" s="7" t="s">
        <v>231</v>
      </c>
      <c r="D429" s="10" t="s">
        <v>316</v>
      </c>
      <c r="E429" s="10" t="s">
        <v>76</v>
      </c>
      <c r="F429" s="7" t="s">
        <v>77</v>
      </c>
      <c r="G429" s="7" t="s">
        <v>78</v>
      </c>
      <c r="O429" s="8" t="s">
        <v>79</v>
      </c>
      <c r="P429" s="8" t="s">
        <v>80</v>
      </c>
      <c r="Q429" s="8" t="s">
        <v>81</v>
      </c>
      <c r="R429" s="10" t="s">
        <v>82</v>
      </c>
      <c r="T429" s="7" t="str">
        <f aca="false">_xlfn.TEXTJOIN( , ,B429,C429)</f>
        <v>electrical_roomSpot Cam - PTZ - 61 spot-cam-ptz.jpg</v>
      </c>
    </row>
    <row r="430" s="7" customFormat="true" ht="15.75" hidden="true" customHeight="true" outlineLevel="0" collapsed="false">
      <c r="A430" s="7" t="s">
        <v>20</v>
      </c>
      <c r="B430" s="7" t="s">
        <v>234</v>
      </c>
      <c r="C430" s="7" t="s">
        <v>231</v>
      </c>
      <c r="D430" s="10" t="s">
        <v>316</v>
      </c>
      <c r="E430" s="10" t="s">
        <v>87</v>
      </c>
      <c r="F430" s="7" t="s">
        <v>88</v>
      </c>
      <c r="G430" s="7" t="s">
        <v>78</v>
      </c>
      <c r="O430" s="8" t="s">
        <v>79</v>
      </c>
      <c r="P430" s="8" t="s">
        <v>80</v>
      </c>
      <c r="Q430" s="8" t="s">
        <v>81</v>
      </c>
      <c r="R430" s="10" t="s">
        <v>82</v>
      </c>
      <c r="T430" s="7" t="str">
        <f aca="false">_xlfn.TEXTJOIN( , ,B430,C430)</f>
        <v>electrical_roomSpot Cam - PTZ - 61 spot-cam-ptz.jpg</v>
      </c>
    </row>
    <row r="431" s="7" customFormat="true" ht="15.75" hidden="true" customHeight="true" outlineLevel="0" collapsed="false">
      <c r="A431" s="7" t="s">
        <v>20</v>
      </c>
      <c r="B431" s="7" t="s">
        <v>234</v>
      </c>
      <c r="C431" s="7" t="s">
        <v>231</v>
      </c>
      <c r="D431" s="10" t="s">
        <v>316</v>
      </c>
      <c r="E431" s="10" t="s">
        <v>89</v>
      </c>
      <c r="F431" s="7" t="s">
        <v>90</v>
      </c>
      <c r="G431" s="7" t="s">
        <v>102</v>
      </c>
      <c r="O431" s="8" t="s">
        <v>79</v>
      </c>
      <c r="P431" s="8" t="s">
        <v>80</v>
      </c>
      <c r="Q431" s="8" t="s">
        <v>81</v>
      </c>
      <c r="R431" s="10" t="s">
        <v>82</v>
      </c>
      <c r="T431" s="7" t="str">
        <f aca="false">_xlfn.TEXTJOIN( , ,B431,C431)</f>
        <v>electrical_roomSpot Cam - PTZ - 61 spot-cam-ptz.jpg</v>
      </c>
    </row>
    <row r="432" s="7" customFormat="true" ht="15.75" hidden="false" customHeight="true" outlineLevel="0" collapsed="false">
      <c r="A432" s="7" t="s">
        <v>20</v>
      </c>
      <c r="B432" s="7" t="s">
        <v>234</v>
      </c>
      <c r="C432" s="7" t="s">
        <v>232</v>
      </c>
      <c r="D432" s="7" t="s">
        <v>41</v>
      </c>
      <c r="E432" s="7" t="s">
        <v>42</v>
      </c>
      <c r="F432" s="7" t="s">
        <v>43</v>
      </c>
      <c r="G432" s="7" t="s">
        <v>44</v>
      </c>
      <c r="O432" s="8" t="s">
        <v>45</v>
      </c>
      <c r="P432" s="8" t="s">
        <v>46</v>
      </c>
      <c r="Q432" s="8" t="s">
        <v>47</v>
      </c>
      <c r="S432" s="11" t="s">
        <v>48</v>
      </c>
      <c r="T432" s="7" t="str">
        <f aca="false">_xlfn.TEXTJOIN( , ,B432,C432)</f>
        <v>electrical_roomSpot Cam - PTZ - 62 spot-cam-ptz.jpg</v>
      </c>
    </row>
    <row r="433" s="7" customFormat="true" ht="15.75" hidden="true" customHeight="true" outlineLevel="0" collapsed="false">
      <c r="A433" s="7" t="s">
        <v>20</v>
      </c>
      <c r="B433" s="7" t="s">
        <v>234</v>
      </c>
      <c r="C433" s="7" t="s">
        <v>317</v>
      </c>
      <c r="D433" s="7" t="s">
        <v>23</v>
      </c>
      <c r="F433" s="7" t="s">
        <v>24</v>
      </c>
      <c r="G433" s="7" t="s">
        <v>25</v>
      </c>
      <c r="I433" s="8" t="s">
        <v>26</v>
      </c>
      <c r="J433" s="8" t="s">
        <v>53</v>
      </c>
      <c r="T433" s="7" t="str">
        <f aca="false">_xlfn.TEXTJOIN( , ,B433,C433)</f>
        <v>electrical_roomSpot Cam - PTZ - 63 spot-cam-ptz.jpg</v>
      </c>
    </row>
    <row r="434" s="7" customFormat="true" ht="15.75" hidden="true" customHeight="true" outlineLevel="0" collapsed="false">
      <c r="A434" s="7" t="s">
        <v>20</v>
      </c>
      <c r="B434" s="7" t="s">
        <v>234</v>
      </c>
      <c r="C434" s="7" t="s">
        <v>317</v>
      </c>
      <c r="D434" s="7" t="s">
        <v>23</v>
      </c>
      <c r="F434" s="7" t="s">
        <v>24</v>
      </c>
      <c r="G434" s="7" t="s">
        <v>25</v>
      </c>
      <c r="O434" s="8" t="s">
        <v>26</v>
      </c>
      <c r="P434" s="8" t="s">
        <v>53</v>
      </c>
      <c r="T434" s="7" t="str">
        <f aca="false">_xlfn.TEXTJOIN( , ,B434,C434)</f>
        <v>electrical_roomSpot Cam - PTZ - 63 spot-cam-ptz.jpg</v>
      </c>
    </row>
    <row r="435" s="7" customFormat="true" ht="15.75" hidden="true" customHeight="true" outlineLevel="0" collapsed="false">
      <c r="A435" s="7" t="s">
        <v>20</v>
      </c>
      <c r="B435" s="7" t="s">
        <v>234</v>
      </c>
      <c r="C435" s="7" t="s">
        <v>317</v>
      </c>
      <c r="D435" s="7" t="s">
        <v>23</v>
      </c>
      <c r="E435" s="7" t="s">
        <v>30</v>
      </c>
      <c r="F435" s="7" t="s">
        <v>31</v>
      </c>
      <c r="G435" s="7" t="s">
        <v>25</v>
      </c>
      <c r="O435" s="8" t="s">
        <v>26</v>
      </c>
      <c r="P435" s="8" t="s">
        <v>53</v>
      </c>
      <c r="T435" s="7" t="str">
        <f aca="false">_xlfn.TEXTJOIN( , ,B435,C435)</f>
        <v>electrical_roomSpot Cam - PTZ - 63 spot-cam-ptz.jpg</v>
      </c>
    </row>
    <row r="436" s="7" customFormat="true" ht="15.75" hidden="true" customHeight="true" outlineLevel="0" collapsed="false">
      <c r="A436" s="7" t="s">
        <v>20</v>
      </c>
      <c r="B436" s="7" t="s">
        <v>234</v>
      </c>
      <c r="C436" s="7" t="s">
        <v>318</v>
      </c>
      <c r="D436" s="7" t="s">
        <v>23</v>
      </c>
      <c r="E436" s="7" t="s">
        <v>34</v>
      </c>
      <c r="F436" s="7" t="s">
        <v>35</v>
      </c>
      <c r="G436" s="7" t="s">
        <v>36</v>
      </c>
      <c r="J436" s="7" t="n">
        <v>0</v>
      </c>
      <c r="K436" s="7" t="n">
        <v>10</v>
      </c>
      <c r="L436" s="7" t="n">
        <v>4</v>
      </c>
      <c r="M436" s="7" t="n">
        <v>9</v>
      </c>
      <c r="N436" s="10" t="s">
        <v>37</v>
      </c>
      <c r="O436" s="8" t="s">
        <v>26</v>
      </c>
      <c r="P436" s="8" t="s">
        <v>32</v>
      </c>
      <c r="R436" s="10" t="s">
        <v>38</v>
      </c>
      <c r="T436" s="7" t="str">
        <f aca="false">_xlfn.TEXTJOIN( , ,B436,C436)</f>
        <v>electrical_roomSpot Cam - PTZ - 64 spot-cam-ptz.jpg</v>
      </c>
    </row>
    <row r="437" s="7" customFormat="true" ht="15.75" hidden="true" customHeight="true" outlineLevel="0" collapsed="false">
      <c r="A437" s="7" t="s">
        <v>20</v>
      </c>
      <c r="B437" s="7" t="s">
        <v>234</v>
      </c>
      <c r="C437" s="7" t="s">
        <v>318</v>
      </c>
      <c r="D437" s="7" t="s">
        <v>23</v>
      </c>
      <c r="E437" s="7" t="s">
        <v>39</v>
      </c>
      <c r="F437" s="7" t="s">
        <v>35</v>
      </c>
      <c r="G437" s="7" t="s">
        <v>36</v>
      </c>
      <c r="J437" s="7" t="n">
        <v>0</v>
      </c>
      <c r="K437" s="7" t="n">
        <v>10</v>
      </c>
      <c r="L437" s="7" t="n">
        <v>4</v>
      </c>
      <c r="M437" s="7" t="n">
        <v>9</v>
      </c>
      <c r="N437" s="10" t="s">
        <v>37</v>
      </c>
      <c r="O437" s="8" t="s">
        <v>26</v>
      </c>
      <c r="P437" s="8" t="s">
        <v>32</v>
      </c>
      <c r="R437" s="10" t="s">
        <v>38</v>
      </c>
      <c r="T437" s="7" t="str">
        <f aca="false">_xlfn.TEXTJOIN( , ,B437,C437)</f>
        <v>electrical_roomSpot Cam - PTZ - 64 spot-cam-ptz.jpg</v>
      </c>
    </row>
    <row r="438" s="7" customFormat="true" ht="15.75" hidden="true" customHeight="true" outlineLevel="0" collapsed="false">
      <c r="A438" s="7" t="s">
        <v>20</v>
      </c>
      <c r="B438" s="7" t="s">
        <v>234</v>
      </c>
      <c r="C438" s="7" t="s">
        <v>70</v>
      </c>
      <c r="D438" s="10" t="s">
        <v>319</v>
      </c>
      <c r="E438" s="10" t="s">
        <v>76</v>
      </c>
      <c r="F438" s="7" t="s">
        <v>77</v>
      </c>
      <c r="G438" s="7" t="s">
        <v>78</v>
      </c>
      <c r="O438" s="8" t="s">
        <v>79</v>
      </c>
      <c r="P438" s="8" t="s">
        <v>80</v>
      </c>
      <c r="Q438" s="8" t="s">
        <v>81</v>
      </c>
      <c r="R438" s="10" t="s">
        <v>82</v>
      </c>
      <c r="T438" s="7" t="str">
        <f aca="false">_xlfn.TEXTJOIN( , ,B438,C438)</f>
        <v>electrical_roomSpot Cam - PTZ - 7 spot-cam-ptz.jpg</v>
      </c>
    </row>
    <row r="439" s="7" customFormat="true" ht="15.75" hidden="true" customHeight="true" outlineLevel="0" collapsed="false">
      <c r="A439" s="7" t="s">
        <v>20</v>
      </c>
      <c r="B439" s="7" t="s">
        <v>234</v>
      </c>
      <c r="C439" s="7" t="s">
        <v>70</v>
      </c>
      <c r="D439" s="10" t="s">
        <v>319</v>
      </c>
      <c r="E439" s="10" t="s">
        <v>92</v>
      </c>
      <c r="F439" s="7" t="s">
        <v>93</v>
      </c>
      <c r="G439" s="7" t="s">
        <v>78</v>
      </c>
      <c r="O439" s="8" t="s">
        <v>79</v>
      </c>
      <c r="P439" s="8" t="s">
        <v>80</v>
      </c>
      <c r="Q439" s="8" t="s">
        <v>81</v>
      </c>
      <c r="R439" s="10" t="s">
        <v>82</v>
      </c>
      <c r="T439" s="7" t="str">
        <f aca="false">_xlfn.TEXTJOIN( , ,B439,C439)</f>
        <v>electrical_roomSpot Cam - PTZ - 7 spot-cam-ptz.jpg</v>
      </c>
    </row>
    <row r="440" s="7" customFormat="true" ht="15.75" hidden="true" customHeight="true" outlineLevel="0" collapsed="false">
      <c r="A440" s="7" t="s">
        <v>20</v>
      </c>
      <c r="B440" s="7" t="s">
        <v>234</v>
      </c>
      <c r="C440" s="7" t="s">
        <v>70</v>
      </c>
      <c r="D440" s="10" t="s">
        <v>319</v>
      </c>
      <c r="E440" s="10" t="s">
        <v>87</v>
      </c>
      <c r="F440" s="7" t="s">
        <v>88</v>
      </c>
      <c r="G440" s="7" t="s">
        <v>78</v>
      </c>
      <c r="O440" s="8" t="s">
        <v>79</v>
      </c>
      <c r="P440" s="8" t="s">
        <v>80</v>
      </c>
      <c r="Q440" s="8" t="s">
        <v>81</v>
      </c>
      <c r="R440" s="10" t="s">
        <v>82</v>
      </c>
      <c r="T440" s="7" t="str">
        <f aca="false">_xlfn.TEXTJOIN( , ,B440,C440)</f>
        <v>electrical_roomSpot Cam - PTZ - 7 spot-cam-ptz.jpg</v>
      </c>
    </row>
    <row r="441" s="7" customFormat="true" ht="15.75" hidden="true" customHeight="true" outlineLevel="0" collapsed="false">
      <c r="A441" s="7" t="s">
        <v>20</v>
      </c>
      <c r="B441" s="7" t="s">
        <v>234</v>
      </c>
      <c r="C441" s="7" t="s">
        <v>70</v>
      </c>
      <c r="D441" s="10" t="s">
        <v>319</v>
      </c>
      <c r="E441" s="10" t="s">
        <v>89</v>
      </c>
      <c r="F441" s="7" t="s">
        <v>90</v>
      </c>
      <c r="G441" s="7" t="s">
        <v>102</v>
      </c>
      <c r="O441" s="8" t="s">
        <v>79</v>
      </c>
      <c r="P441" s="8" t="s">
        <v>80</v>
      </c>
      <c r="Q441" s="8" t="s">
        <v>81</v>
      </c>
      <c r="R441" s="10" t="s">
        <v>82</v>
      </c>
      <c r="T441" s="7" t="str">
        <f aca="false">_xlfn.TEXTJOIN( , ,B441,C441)</f>
        <v>electrical_roomSpot Cam - PTZ - 7 spot-cam-ptz.jpg</v>
      </c>
    </row>
    <row r="442" s="7" customFormat="true" ht="15.75" hidden="false" customHeight="true" outlineLevel="0" collapsed="false">
      <c r="A442" s="7" t="s">
        <v>20</v>
      </c>
      <c r="B442" s="7" t="s">
        <v>234</v>
      </c>
      <c r="C442" s="7" t="s">
        <v>71</v>
      </c>
      <c r="D442" s="10" t="s">
        <v>236</v>
      </c>
      <c r="E442" s="7" t="s">
        <v>151</v>
      </c>
      <c r="F442" s="7" t="s">
        <v>152</v>
      </c>
      <c r="G442" s="7" t="s">
        <v>44</v>
      </c>
      <c r="O442" s="8" t="s">
        <v>79</v>
      </c>
      <c r="P442" s="8" t="s">
        <v>266</v>
      </c>
      <c r="Q442" s="8" t="s">
        <v>81</v>
      </c>
      <c r="S442" s="11" t="s">
        <v>153</v>
      </c>
      <c r="T442" s="7" t="str">
        <f aca="false">_xlfn.TEXTJOIN( , ,B442,C442)</f>
        <v>electrical_roomSpot Cam - PTZ - 8 spot-cam-ptz.jpg</v>
      </c>
    </row>
    <row r="443" s="7" customFormat="true" ht="15.75" hidden="true" customHeight="true" outlineLevel="0" collapsed="false">
      <c r="A443" s="7" t="s">
        <v>20</v>
      </c>
      <c r="B443" s="7" t="s">
        <v>234</v>
      </c>
      <c r="C443" s="7" t="s">
        <v>71</v>
      </c>
      <c r="D443" s="10" t="s">
        <v>236</v>
      </c>
      <c r="E443" s="10" t="s">
        <v>76</v>
      </c>
      <c r="F443" s="7" t="s">
        <v>77</v>
      </c>
      <c r="G443" s="7" t="s">
        <v>78</v>
      </c>
      <c r="O443" s="8" t="s">
        <v>79</v>
      </c>
      <c r="P443" s="8" t="s">
        <v>80</v>
      </c>
      <c r="Q443" s="8" t="s">
        <v>81</v>
      </c>
      <c r="R443" s="10" t="s">
        <v>82</v>
      </c>
      <c r="T443" s="7" t="str">
        <f aca="false">_xlfn.TEXTJOIN( , ,B443,C443)</f>
        <v>electrical_roomSpot Cam - PTZ - 8 spot-cam-ptz.jpg</v>
      </c>
    </row>
    <row r="444" s="7" customFormat="true" ht="15.75" hidden="true" customHeight="true" outlineLevel="0" collapsed="false">
      <c r="A444" s="7" t="s">
        <v>20</v>
      </c>
      <c r="B444" s="7" t="s">
        <v>234</v>
      </c>
      <c r="C444" s="7" t="s">
        <v>71</v>
      </c>
      <c r="D444" s="10" t="s">
        <v>236</v>
      </c>
      <c r="E444" s="7" t="s">
        <v>92</v>
      </c>
      <c r="F444" s="7" t="s">
        <v>93</v>
      </c>
      <c r="G444" s="7" t="s">
        <v>78</v>
      </c>
      <c r="O444" s="8" t="s">
        <v>79</v>
      </c>
      <c r="P444" s="8" t="s">
        <v>80</v>
      </c>
      <c r="Q444" s="8" t="s">
        <v>81</v>
      </c>
      <c r="R444" s="10" t="s">
        <v>82</v>
      </c>
      <c r="T444" s="7" t="str">
        <f aca="false">_xlfn.TEXTJOIN( , ,B444,C444)</f>
        <v>electrical_roomSpot Cam - PTZ - 8 spot-cam-ptz.jpg</v>
      </c>
    </row>
    <row r="445" s="7" customFormat="true" ht="15.75" hidden="true" customHeight="true" outlineLevel="0" collapsed="false">
      <c r="A445" s="7" t="s">
        <v>20</v>
      </c>
      <c r="B445" s="7" t="s">
        <v>234</v>
      </c>
      <c r="C445" s="7" t="s">
        <v>71</v>
      </c>
      <c r="D445" s="10" t="s">
        <v>236</v>
      </c>
      <c r="E445" s="10" t="s">
        <v>87</v>
      </c>
      <c r="F445" s="7" t="s">
        <v>88</v>
      </c>
      <c r="G445" s="7" t="s">
        <v>78</v>
      </c>
      <c r="O445" s="8" t="s">
        <v>79</v>
      </c>
      <c r="P445" s="8" t="s">
        <v>80</v>
      </c>
      <c r="Q445" s="8" t="s">
        <v>81</v>
      </c>
      <c r="R445" s="10" t="s">
        <v>82</v>
      </c>
      <c r="T445" s="7" t="str">
        <f aca="false">_xlfn.TEXTJOIN( , ,B445,C445)</f>
        <v>electrical_roomSpot Cam - PTZ - 8 spot-cam-ptz.jpg</v>
      </c>
    </row>
    <row r="446" s="7" customFormat="true" ht="15.75" hidden="true" customHeight="true" outlineLevel="0" collapsed="false">
      <c r="A446" s="7" t="s">
        <v>20</v>
      </c>
      <c r="B446" s="7" t="s">
        <v>234</v>
      </c>
      <c r="C446" s="7" t="s">
        <v>71</v>
      </c>
      <c r="D446" s="10" t="s">
        <v>236</v>
      </c>
      <c r="E446" s="10" t="s">
        <v>89</v>
      </c>
      <c r="F446" s="7" t="s">
        <v>90</v>
      </c>
      <c r="G446" s="7" t="s">
        <v>102</v>
      </c>
      <c r="O446" s="8" t="s">
        <v>79</v>
      </c>
      <c r="P446" s="8" t="s">
        <v>144</v>
      </c>
      <c r="Q446" s="8" t="s">
        <v>81</v>
      </c>
      <c r="R446" s="10"/>
      <c r="T446" s="7" t="str">
        <f aca="false">_xlfn.TEXTJOIN( , ,B446,C446)</f>
        <v>electrical_roomSpot Cam - PTZ - 8 spot-cam-ptz.jpg</v>
      </c>
    </row>
    <row r="447" s="7" customFormat="true" ht="15.75" hidden="false" customHeight="true" outlineLevel="0" collapsed="false">
      <c r="A447" s="7" t="s">
        <v>20</v>
      </c>
      <c r="B447" s="7" t="s">
        <v>234</v>
      </c>
      <c r="C447" s="7" t="s">
        <v>73</v>
      </c>
      <c r="D447" s="10" t="s">
        <v>236</v>
      </c>
      <c r="E447" s="7" t="s">
        <v>143</v>
      </c>
      <c r="F447" s="10" t="s">
        <v>143</v>
      </c>
      <c r="G447" s="7" t="s">
        <v>44</v>
      </c>
      <c r="O447" s="8" t="s">
        <v>79</v>
      </c>
      <c r="P447" s="8" t="s">
        <v>80</v>
      </c>
      <c r="Q447" s="8" t="s">
        <v>81</v>
      </c>
      <c r="R447" s="10" t="s">
        <v>82</v>
      </c>
      <c r="S447" s="11" t="s">
        <v>145</v>
      </c>
      <c r="T447" s="7" t="str">
        <f aca="false">_xlfn.TEXTJOIN( , ,B447,C447)</f>
        <v>electrical_roomSpot Cam - PTZ - 9 spot-cam-ptz.jpg</v>
      </c>
    </row>
    <row r="448" s="7" customFormat="true" ht="15.75" hidden="true" customHeight="true" outlineLevel="0" collapsed="false">
      <c r="A448" s="7" t="s">
        <v>20</v>
      </c>
      <c r="B448" s="7" t="s">
        <v>320</v>
      </c>
      <c r="C448" s="7" t="s">
        <v>22</v>
      </c>
      <c r="D448" s="7" t="s">
        <v>23</v>
      </c>
      <c r="F448" s="7" t="s">
        <v>24</v>
      </c>
      <c r="G448" s="7" t="s">
        <v>25</v>
      </c>
      <c r="I448" s="8" t="s">
        <v>26</v>
      </c>
      <c r="J448" s="8" t="s">
        <v>53</v>
      </c>
      <c r="T448" s="7" t="str">
        <f aca="false">_xlfn.TEXTJOIN( , ,B448,C448)</f>
        <v>ESS_roomSpot Cam - PTZ - 1 spot-cam-ptz.jpg</v>
      </c>
    </row>
    <row r="449" s="7" customFormat="true" ht="15.75" hidden="true" customHeight="true" outlineLevel="0" collapsed="false">
      <c r="A449" s="7" t="s">
        <v>20</v>
      </c>
      <c r="B449" s="7" t="s">
        <v>320</v>
      </c>
      <c r="C449" s="7" t="s">
        <v>22</v>
      </c>
      <c r="D449" s="7" t="s">
        <v>23</v>
      </c>
      <c r="F449" s="7" t="s">
        <v>24</v>
      </c>
      <c r="G449" s="7" t="s">
        <v>25</v>
      </c>
      <c r="O449" s="8" t="s">
        <v>26</v>
      </c>
      <c r="P449" s="8" t="s">
        <v>53</v>
      </c>
      <c r="T449" s="7" t="str">
        <f aca="false">_xlfn.TEXTJOIN( , ,B449,C449)</f>
        <v>ESS_roomSpot Cam - PTZ - 1 spot-cam-ptz.jpg</v>
      </c>
    </row>
    <row r="450" s="7" customFormat="true" ht="15.75" hidden="true" customHeight="true" outlineLevel="0" collapsed="false">
      <c r="A450" s="7" t="s">
        <v>20</v>
      </c>
      <c r="B450" s="7" t="s">
        <v>320</v>
      </c>
      <c r="C450" s="7" t="s">
        <v>22</v>
      </c>
      <c r="D450" s="7" t="s">
        <v>23</v>
      </c>
      <c r="E450" s="7" t="s">
        <v>30</v>
      </c>
      <c r="F450" s="7" t="s">
        <v>31</v>
      </c>
      <c r="G450" s="7" t="s">
        <v>25</v>
      </c>
      <c r="O450" s="8" t="s">
        <v>26</v>
      </c>
      <c r="P450" s="8" t="s">
        <v>53</v>
      </c>
      <c r="T450" s="7" t="str">
        <f aca="false">_xlfn.TEXTJOIN( , ,B450,C450)</f>
        <v>ESS_roomSpot Cam - PTZ - 1 spot-cam-ptz.jpg</v>
      </c>
    </row>
    <row r="451" s="7" customFormat="true" ht="15.75" hidden="true" customHeight="true" outlineLevel="0" collapsed="false">
      <c r="A451" s="7" t="s">
        <v>20</v>
      </c>
      <c r="B451" s="7" t="s">
        <v>320</v>
      </c>
      <c r="C451" s="7" t="s">
        <v>33</v>
      </c>
      <c r="D451" s="7" t="s">
        <v>321</v>
      </c>
      <c r="E451" s="7" t="s">
        <v>322</v>
      </c>
      <c r="F451" s="10" t="s">
        <v>323</v>
      </c>
      <c r="G451" s="7" t="s">
        <v>324</v>
      </c>
      <c r="O451" s="8" t="s">
        <v>325</v>
      </c>
      <c r="P451" s="8" t="s">
        <v>326</v>
      </c>
      <c r="T451" s="7" t="str">
        <f aca="false">_xlfn.TEXTJOIN( , ,B451,C451)</f>
        <v>ESS_roomSpot Cam - PTZ - 10 spot-cam-ptz.jpg</v>
      </c>
    </row>
    <row r="452" s="7" customFormat="true" ht="15.75" hidden="false" customHeight="true" outlineLevel="0" collapsed="false">
      <c r="A452" s="7" t="s">
        <v>20</v>
      </c>
      <c r="B452" s="7" t="s">
        <v>320</v>
      </c>
      <c r="C452" s="7" t="s">
        <v>40</v>
      </c>
      <c r="D452" s="7" t="s">
        <v>41</v>
      </c>
      <c r="E452" s="7" t="s">
        <v>42</v>
      </c>
      <c r="F452" s="7" t="s">
        <v>43</v>
      </c>
      <c r="G452" s="7" t="s">
        <v>44</v>
      </c>
      <c r="O452" s="8" t="s">
        <v>45</v>
      </c>
      <c r="P452" s="8" t="s">
        <v>46</v>
      </c>
      <c r="Q452" s="8" t="s">
        <v>47</v>
      </c>
      <c r="S452" s="11" t="s">
        <v>48</v>
      </c>
      <c r="T452" s="7" t="str">
        <f aca="false">_xlfn.TEXTJOIN( , ,B452,C452)</f>
        <v>ESS_roomSpot Cam - PTZ - 11 spot-cam-ptz.jpg</v>
      </c>
    </row>
    <row r="453" s="7" customFormat="true" ht="15.75" hidden="false" customHeight="true" outlineLevel="0" collapsed="false">
      <c r="A453" s="7" t="s">
        <v>20</v>
      </c>
      <c r="B453" s="7" t="s">
        <v>320</v>
      </c>
      <c r="C453" s="7" t="s">
        <v>49</v>
      </c>
      <c r="D453" s="7" t="s">
        <v>63</v>
      </c>
      <c r="F453" s="10" t="s">
        <v>327</v>
      </c>
      <c r="G453" s="10" t="s">
        <v>44</v>
      </c>
      <c r="J453" s="7" t="n">
        <v>-30</v>
      </c>
      <c r="K453" s="7" t="n">
        <v>50</v>
      </c>
      <c r="L453" s="7" t="n">
        <v>15</v>
      </c>
      <c r="M453" s="7" t="n">
        <v>25</v>
      </c>
      <c r="N453" s="10" t="s">
        <v>328</v>
      </c>
      <c r="O453" s="8" t="s">
        <v>45</v>
      </c>
      <c r="P453" s="8" t="s">
        <v>46</v>
      </c>
      <c r="Q453" s="8" t="s">
        <v>47</v>
      </c>
      <c r="S453" s="11" t="s">
        <v>329</v>
      </c>
      <c r="T453" s="7" t="str">
        <f aca="false">_xlfn.TEXTJOIN( , ,B453,C453)</f>
        <v>ESS_roomSpot Cam - PTZ - 12 spot-cam-ptz.jpg</v>
      </c>
    </row>
    <row r="454" s="7" customFormat="true" ht="15.75" hidden="true" customHeight="true" outlineLevel="0" collapsed="false">
      <c r="A454" s="7" t="s">
        <v>20</v>
      </c>
      <c r="B454" s="7" t="s">
        <v>320</v>
      </c>
      <c r="C454" s="7" t="s">
        <v>61</v>
      </c>
      <c r="D454" s="7" t="s">
        <v>23</v>
      </c>
      <c r="E454" s="7" t="s">
        <v>34</v>
      </c>
      <c r="F454" s="7" t="s">
        <v>35</v>
      </c>
      <c r="G454" s="7" t="s">
        <v>36</v>
      </c>
      <c r="J454" s="7" t="n">
        <v>0</v>
      </c>
      <c r="K454" s="7" t="n">
        <v>10</v>
      </c>
      <c r="L454" s="7" t="n">
        <v>4</v>
      </c>
      <c r="M454" s="7" t="n">
        <v>9</v>
      </c>
      <c r="N454" s="10" t="s">
        <v>37</v>
      </c>
      <c r="O454" s="8" t="s">
        <v>26</v>
      </c>
      <c r="P454" s="8" t="s">
        <v>32</v>
      </c>
      <c r="R454" s="10" t="s">
        <v>38</v>
      </c>
      <c r="T454" s="7" t="str">
        <f aca="false">_xlfn.TEXTJOIN( , ,B454,C454)</f>
        <v>ESS_roomSpot Cam - PTZ - 2 spot-cam-ptz.jpg</v>
      </c>
    </row>
    <row r="455" s="7" customFormat="true" ht="15.75" hidden="true" customHeight="true" outlineLevel="0" collapsed="false">
      <c r="A455" s="7" t="s">
        <v>20</v>
      </c>
      <c r="B455" s="7" t="s">
        <v>320</v>
      </c>
      <c r="C455" s="7" t="s">
        <v>61</v>
      </c>
      <c r="D455" s="7" t="s">
        <v>23</v>
      </c>
      <c r="E455" s="7" t="s">
        <v>39</v>
      </c>
      <c r="F455" s="7" t="s">
        <v>35</v>
      </c>
      <c r="G455" s="7" t="s">
        <v>36</v>
      </c>
      <c r="J455" s="7" t="n">
        <v>0</v>
      </c>
      <c r="K455" s="7" t="n">
        <v>10</v>
      </c>
      <c r="L455" s="7" t="n">
        <v>4</v>
      </c>
      <c r="M455" s="7" t="n">
        <v>9</v>
      </c>
      <c r="N455" s="10" t="s">
        <v>37</v>
      </c>
      <c r="O455" s="8" t="s">
        <v>26</v>
      </c>
      <c r="P455" s="8" t="s">
        <v>32</v>
      </c>
      <c r="R455" s="10" t="s">
        <v>38</v>
      </c>
      <c r="T455" s="7" t="str">
        <f aca="false">_xlfn.TEXTJOIN( , ,B455,C455)</f>
        <v>ESS_roomSpot Cam - PTZ - 2 spot-cam-ptz.jpg</v>
      </c>
    </row>
    <row r="456" s="7" customFormat="true" ht="15.75" hidden="true" customHeight="true" outlineLevel="0" collapsed="false">
      <c r="A456" s="7" t="s">
        <v>20</v>
      </c>
      <c r="B456" s="7" t="s">
        <v>320</v>
      </c>
      <c r="C456" s="10" t="s">
        <v>62</v>
      </c>
      <c r="D456" s="7" t="s">
        <v>330</v>
      </c>
      <c r="F456" s="10" t="s">
        <v>331</v>
      </c>
      <c r="G456" s="10" t="s">
        <v>332</v>
      </c>
      <c r="N456" s="10"/>
      <c r="R456" s="10"/>
      <c r="T456" s="7" t="str">
        <f aca="false">_xlfn.TEXTJOIN( , ,B456,C456)</f>
        <v>ESS_roomSpot Cam - PTZ - 3 spot-cam-ptz.jpg</v>
      </c>
    </row>
    <row r="457" s="7" customFormat="true" ht="15.75" hidden="true" customHeight="true" outlineLevel="0" collapsed="false">
      <c r="A457" s="7" t="s">
        <v>20</v>
      </c>
      <c r="B457" s="7" t="s">
        <v>320</v>
      </c>
      <c r="C457" s="10" t="s">
        <v>67</v>
      </c>
      <c r="D457" s="10" t="s">
        <v>333</v>
      </c>
      <c r="F457" s="10" t="s">
        <v>331</v>
      </c>
      <c r="G457" s="10" t="s">
        <v>332</v>
      </c>
      <c r="H457" s="10"/>
      <c r="L457" s="10"/>
      <c r="T457" s="7" t="str">
        <f aca="false">_xlfn.TEXTJOIN( , ,B457,C457)</f>
        <v>ESS_roomSpot Cam - PTZ - 4 spot-cam-ptz.jpg</v>
      </c>
    </row>
    <row r="458" s="7" customFormat="true" ht="15.75" hidden="false" customHeight="true" outlineLevel="0" collapsed="false">
      <c r="A458" s="7" t="s">
        <v>20</v>
      </c>
      <c r="B458" s="7" t="s">
        <v>320</v>
      </c>
      <c r="C458" s="7" t="s">
        <v>69</v>
      </c>
      <c r="D458" s="7" t="s">
        <v>330</v>
      </c>
      <c r="E458" s="7" t="s">
        <v>334</v>
      </c>
      <c r="F458" s="10" t="s">
        <v>335</v>
      </c>
      <c r="G458" s="7" t="s">
        <v>44</v>
      </c>
      <c r="O458" s="8" t="s">
        <v>336</v>
      </c>
      <c r="P458" s="8" t="s">
        <v>337</v>
      </c>
      <c r="Q458" s="7" t="s">
        <v>338</v>
      </c>
      <c r="S458" s="11" t="s">
        <v>339</v>
      </c>
      <c r="T458" s="7" t="str">
        <f aca="false">_xlfn.TEXTJOIN( , ,B458,C458)</f>
        <v>ESS_roomSpot Cam - PTZ - 6 spot-cam-ptz.jpg</v>
      </c>
    </row>
    <row r="459" s="7" customFormat="true" ht="15.75" hidden="false" customHeight="true" outlineLevel="0" collapsed="false">
      <c r="A459" s="7" t="s">
        <v>20</v>
      </c>
      <c r="B459" s="7" t="s">
        <v>320</v>
      </c>
      <c r="C459" s="7" t="s">
        <v>70</v>
      </c>
      <c r="D459" s="7" t="s">
        <v>41</v>
      </c>
      <c r="E459" s="7" t="s">
        <v>42</v>
      </c>
      <c r="F459" s="7" t="s">
        <v>43</v>
      </c>
      <c r="G459" s="7" t="s">
        <v>44</v>
      </c>
      <c r="O459" s="8" t="s">
        <v>45</v>
      </c>
      <c r="P459" s="8" t="s">
        <v>46</v>
      </c>
      <c r="Q459" s="8" t="s">
        <v>47</v>
      </c>
      <c r="S459" s="11" t="s">
        <v>48</v>
      </c>
      <c r="T459" s="7" t="str">
        <f aca="false">_xlfn.TEXTJOIN( , ,B459,C459)</f>
        <v>ESS_roomSpot Cam - PTZ - 7 spot-cam-ptz.jpg</v>
      </c>
    </row>
    <row r="460" s="7" customFormat="true" ht="15.75" hidden="true" customHeight="true" outlineLevel="0" collapsed="false">
      <c r="A460" s="7" t="s">
        <v>20</v>
      </c>
      <c r="B460" s="7" t="s">
        <v>340</v>
      </c>
      <c r="C460" s="7" t="s">
        <v>22</v>
      </c>
      <c r="D460" s="7" t="s">
        <v>23</v>
      </c>
      <c r="F460" s="7" t="s">
        <v>24</v>
      </c>
      <c r="G460" s="7" t="s">
        <v>25</v>
      </c>
      <c r="O460" s="8" t="s">
        <v>26</v>
      </c>
      <c r="P460" s="8" t="s">
        <v>32</v>
      </c>
      <c r="T460" s="7" t="str">
        <f aca="false">_xlfn.TEXTJOIN( , ,B460,C460)</f>
        <v>Generator_room_v2Spot Cam - PTZ - 1 spot-cam-ptz.jpg</v>
      </c>
    </row>
    <row r="461" s="7" customFormat="true" ht="15.75" hidden="true" customHeight="true" outlineLevel="0" collapsed="false">
      <c r="A461" s="7" t="s">
        <v>20</v>
      </c>
      <c r="B461" s="7" t="s">
        <v>340</v>
      </c>
      <c r="C461" s="7" t="s">
        <v>22</v>
      </c>
      <c r="D461" s="7" t="s">
        <v>23</v>
      </c>
      <c r="F461" s="7" t="s">
        <v>24</v>
      </c>
      <c r="G461" s="7" t="s">
        <v>25</v>
      </c>
      <c r="O461" s="8" t="s">
        <v>26</v>
      </c>
      <c r="P461" s="8" t="s">
        <v>53</v>
      </c>
      <c r="T461" s="7" t="str">
        <f aca="false">_xlfn.TEXTJOIN( , ,B461,C461)</f>
        <v>Generator_room_v2Spot Cam - PTZ - 1 spot-cam-ptz.jpg</v>
      </c>
    </row>
    <row r="462" s="7" customFormat="true" ht="15.75" hidden="true" customHeight="true" outlineLevel="0" collapsed="false">
      <c r="A462" s="7" t="s">
        <v>20</v>
      </c>
      <c r="B462" s="7" t="s">
        <v>340</v>
      </c>
      <c r="C462" s="7" t="s">
        <v>22</v>
      </c>
      <c r="D462" s="7" t="s">
        <v>23</v>
      </c>
      <c r="E462" s="7" t="s">
        <v>30</v>
      </c>
      <c r="F462" s="7" t="s">
        <v>31</v>
      </c>
      <c r="G462" s="7" t="s">
        <v>25</v>
      </c>
      <c r="O462" s="8" t="s">
        <v>26</v>
      </c>
      <c r="P462" s="8" t="s">
        <v>32</v>
      </c>
      <c r="T462" s="7" t="str">
        <f aca="false">_xlfn.TEXTJOIN( , ,B462,C462)</f>
        <v>Generator_room_v2Spot Cam - PTZ - 1 spot-cam-ptz.jpg</v>
      </c>
    </row>
    <row r="463" s="7" customFormat="true" ht="15.75" hidden="true" customHeight="true" outlineLevel="0" collapsed="false">
      <c r="A463" s="7" t="s">
        <v>20</v>
      </c>
      <c r="B463" s="7" t="s">
        <v>340</v>
      </c>
      <c r="C463" s="7" t="s">
        <v>22</v>
      </c>
      <c r="D463" s="7" t="s">
        <v>23</v>
      </c>
      <c r="E463" s="7" t="s">
        <v>30</v>
      </c>
      <c r="F463" s="7" t="s">
        <v>31</v>
      </c>
      <c r="G463" s="7" t="s">
        <v>25</v>
      </c>
      <c r="O463" s="8" t="s">
        <v>26</v>
      </c>
      <c r="P463" s="8" t="s">
        <v>53</v>
      </c>
      <c r="T463" s="7" t="str">
        <f aca="false">_xlfn.TEXTJOIN( , ,B463,C463)</f>
        <v>Generator_room_v2Spot Cam - PTZ - 1 spot-cam-ptz.jpg</v>
      </c>
    </row>
    <row r="464" s="7" customFormat="true" ht="15.75" hidden="false" customHeight="true" outlineLevel="0" collapsed="false">
      <c r="A464" s="7" t="s">
        <v>20</v>
      </c>
      <c r="B464" s="7" t="s">
        <v>340</v>
      </c>
      <c r="C464" s="7" t="s">
        <v>33</v>
      </c>
      <c r="D464" s="7" t="s">
        <v>341</v>
      </c>
      <c r="E464" s="7" t="s">
        <v>342</v>
      </c>
      <c r="F464" s="7" t="s">
        <v>343</v>
      </c>
      <c r="G464" s="10" t="s">
        <v>44</v>
      </c>
      <c r="N464" s="7" t="s">
        <v>344</v>
      </c>
      <c r="O464" s="8" t="s">
        <v>345</v>
      </c>
      <c r="P464" s="8" t="s">
        <v>346</v>
      </c>
      <c r="S464" s="11" t="s">
        <v>347</v>
      </c>
      <c r="T464" s="7" t="str">
        <f aca="false">_xlfn.TEXTJOIN( , ,B464,C464)</f>
        <v>Generator_room_v2Spot Cam - PTZ - 10 spot-cam-ptz.jpg</v>
      </c>
    </row>
    <row r="465" s="7" customFormat="true" ht="15.75" hidden="true" customHeight="true" outlineLevel="0" collapsed="false">
      <c r="A465" s="7" t="s">
        <v>20</v>
      </c>
      <c r="B465" s="7" t="s">
        <v>340</v>
      </c>
      <c r="C465" s="7" t="s">
        <v>40</v>
      </c>
      <c r="D465" s="7" t="s">
        <v>341</v>
      </c>
      <c r="E465" s="7" t="s">
        <v>348</v>
      </c>
      <c r="F465" s="10" t="s">
        <v>349</v>
      </c>
      <c r="G465" s="7" t="s">
        <v>350</v>
      </c>
      <c r="T465" s="7" t="str">
        <f aca="false">_xlfn.TEXTJOIN( , ,B465,C465)</f>
        <v>Generator_room_v2Spot Cam - PTZ - 11 spot-cam-ptz.jpg</v>
      </c>
    </row>
    <row r="466" s="7" customFormat="true" ht="15.75" hidden="true" customHeight="true" outlineLevel="0" collapsed="false">
      <c r="A466" s="7" t="s">
        <v>20</v>
      </c>
      <c r="B466" s="7" t="s">
        <v>340</v>
      </c>
      <c r="C466" s="7" t="s">
        <v>49</v>
      </c>
      <c r="D466" s="7" t="s">
        <v>351</v>
      </c>
      <c r="E466" s="7" t="s">
        <v>352</v>
      </c>
      <c r="F466" s="7" t="s">
        <v>353</v>
      </c>
      <c r="G466" s="7" t="s">
        <v>36</v>
      </c>
      <c r="J466" s="7" t="n">
        <v>0</v>
      </c>
      <c r="K466" s="7" t="n">
        <v>30</v>
      </c>
      <c r="L466" s="7" t="n">
        <v>0</v>
      </c>
      <c r="M466" s="7" t="n">
        <v>30</v>
      </c>
      <c r="N466" s="7" t="s">
        <v>354</v>
      </c>
      <c r="S466" s="10"/>
      <c r="T466" s="7" t="str">
        <f aca="false">_xlfn.TEXTJOIN( , ,B466,C466)</f>
        <v>Generator_room_v2Spot Cam - PTZ - 12 spot-cam-ptz.jpg</v>
      </c>
    </row>
    <row r="467" s="7" customFormat="true" ht="15.75" hidden="true" customHeight="true" outlineLevel="0" collapsed="false">
      <c r="A467" s="7" t="s">
        <v>20</v>
      </c>
      <c r="B467" s="7" t="s">
        <v>340</v>
      </c>
      <c r="C467" s="7" t="s">
        <v>49</v>
      </c>
      <c r="D467" s="7" t="s">
        <v>351</v>
      </c>
      <c r="E467" s="7" t="s">
        <v>355</v>
      </c>
      <c r="F467" s="7" t="s">
        <v>353</v>
      </c>
      <c r="G467" s="7" t="s">
        <v>36</v>
      </c>
      <c r="J467" s="7" t="n">
        <v>0</v>
      </c>
      <c r="K467" s="7" t="n">
        <v>30</v>
      </c>
      <c r="L467" s="7" t="n">
        <v>0</v>
      </c>
      <c r="M467" s="7" t="n">
        <v>30</v>
      </c>
      <c r="N467" s="7" t="s">
        <v>354</v>
      </c>
      <c r="T467" s="7" t="str">
        <f aca="false">_xlfn.TEXTJOIN( , ,B467,C467)</f>
        <v>Generator_room_v2Spot Cam - PTZ - 12 spot-cam-ptz.jpg</v>
      </c>
    </row>
    <row r="468" s="7" customFormat="true" ht="15.75" hidden="true" customHeight="true" outlineLevel="0" collapsed="false">
      <c r="A468" s="7" t="s">
        <v>20</v>
      </c>
      <c r="B468" s="7" t="s">
        <v>340</v>
      </c>
      <c r="C468" s="7" t="s">
        <v>49</v>
      </c>
      <c r="D468" s="7" t="s">
        <v>351</v>
      </c>
      <c r="E468" s="10" t="s">
        <v>356</v>
      </c>
      <c r="F468" s="7" t="s">
        <v>357</v>
      </c>
      <c r="G468" s="7" t="s">
        <v>36</v>
      </c>
      <c r="J468" s="7" t="n">
        <v>0</v>
      </c>
      <c r="K468" s="7" t="n">
        <v>30</v>
      </c>
      <c r="L468" s="7" t="n">
        <v>0</v>
      </c>
      <c r="M468" s="7" t="n">
        <v>30</v>
      </c>
      <c r="N468" s="7" t="s">
        <v>354</v>
      </c>
      <c r="O468" s="8" t="s">
        <v>358</v>
      </c>
      <c r="P468" s="7" t="s">
        <v>359</v>
      </c>
      <c r="T468" s="7" t="str">
        <f aca="false">_xlfn.TEXTJOIN( , ,B468,C468)</f>
        <v>Generator_room_v2Spot Cam - PTZ - 12 spot-cam-ptz.jpg</v>
      </c>
    </row>
    <row r="469" s="7" customFormat="true" ht="15.75" hidden="true" customHeight="true" outlineLevel="0" collapsed="false">
      <c r="A469" s="7" t="s">
        <v>20</v>
      </c>
      <c r="B469" s="7" t="s">
        <v>340</v>
      </c>
      <c r="C469" s="7" t="s">
        <v>49</v>
      </c>
      <c r="D469" s="7" t="s">
        <v>351</v>
      </c>
      <c r="E469" s="10" t="s">
        <v>360</v>
      </c>
      <c r="F469" s="7" t="s">
        <v>357</v>
      </c>
      <c r="G469" s="7" t="s">
        <v>36</v>
      </c>
      <c r="J469" s="7" t="n">
        <v>0</v>
      </c>
      <c r="K469" s="7" t="n">
        <v>30</v>
      </c>
      <c r="L469" s="7" t="n">
        <v>0</v>
      </c>
      <c r="M469" s="7" t="n">
        <v>30</v>
      </c>
      <c r="N469" s="7" t="s">
        <v>354</v>
      </c>
      <c r="O469" s="8" t="s">
        <v>358</v>
      </c>
      <c r="P469" s="7" t="s">
        <v>359</v>
      </c>
      <c r="T469" s="7" t="str">
        <f aca="false">_xlfn.TEXTJOIN( , ,B469,C469)</f>
        <v>Generator_room_v2Spot Cam - PTZ - 12 spot-cam-ptz.jpg</v>
      </c>
    </row>
    <row r="470" s="7" customFormat="true" ht="15.75" hidden="true" customHeight="true" outlineLevel="0" collapsed="false">
      <c r="A470" s="7" t="s">
        <v>20</v>
      </c>
      <c r="B470" s="7" t="s">
        <v>340</v>
      </c>
      <c r="C470" s="7" t="s">
        <v>49</v>
      </c>
      <c r="D470" s="7" t="s">
        <v>361</v>
      </c>
      <c r="E470" s="7" t="s">
        <v>362</v>
      </c>
      <c r="F470" s="7" t="s">
        <v>94</v>
      </c>
      <c r="G470" s="7" t="s">
        <v>78</v>
      </c>
      <c r="T470" s="7" t="str">
        <f aca="false">_xlfn.TEXTJOIN( , ,B470,C470)</f>
        <v>Generator_room_v2Spot Cam - PTZ - 12 spot-cam-ptz.jpg</v>
      </c>
    </row>
    <row r="471" s="7" customFormat="true" ht="15.75" hidden="true" customHeight="true" outlineLevel="0" collapsed="false">
      <c r="A471" s="7" t="s">
        <v>20</v>
      </c>
      <c r="B471" s="7" t="s">
        <v>340</v>
      </c>
      <c r="C471" s="7" t="s">
        <v>49</v>
      </c>
      <c r="D471" s="7" t="s">
        <v>351</v>
      </c>
      <c r="E471" s="7" t="s">
        <v>363</v>
      </c>
      <c r="F471" s="7" t="s">
        <v>94</v>
      </c>
      <c r="G471" s="7" t="s">
        <v>78</v>
      </c>
      <c r="T471" s="7" t="str">
        <f aca="false">_xlfn.TEXTJOIN( , ,B471,C471)</f>
        <v>Generator_room_v2Spot Cam - PTZ - 12 spot-cam-ptz.jpg</v>
      </c>
    </row>
    <row r="472" s="7" customFormat="true" ht="15.75" hidden="true" customHeight="true" outlineLevel="0" collapsed="false">
      <c r="A472" s="7" t="s">
        <v>20</v>
      </c>
      <c r="B472" s="7" t="s">
        <v>340</v>
      </c>
      <c r="C472" s="7" t="s">
        <v>49</v>
      </c>
      <c r="D472" s="7" t="s">
        <v>351</v>
      </c>
      <c r="E472" s="7" t="s">
        <v>364</v>
      </c>
      <c r="F472" s="7" t="s">
        <v>94</v>
      </c>
      <c r="G472" s="7" t="s">
        <v>78</v>
      </c>
      <c r="T472" s="7" t="str">
        <f aca="false">_xlfn.TEXTJOIN( , ,B472,C472)</f>
        <v>Generator_room_v2Spot Cam - PTZ - 12 spot-cam-ptz.jpg</v>
      </c>
    </row>
    <row r="473" s="7" customFormat="true" ht="15.75" hidden="true" customHeight="true" outlineLevel="0" collapsed="false">
      <c r="A473" s="7" t="s">
        <v>20</v>
      </c>
      <c r="B473" s="7" t="s">
        <v>340</v>
      </c>
      <c r="C473" s="7" t="s">
        <v>49</v>
      </c>
      <c r="D473" s="7" t="s">
        <v>361</v>
      </c>
      <c r="E473" s="10" t="s">
        <v>365</v>
      </c>
      <c r="F473" s="7" t="s">
        <v>95</v>
      </c>
      <c r="G473" s="7" t="s">
        <v>78</v>
      </c>
      <c r="T473" s="7" t="str">
        <f aca="false">_xlfn.TEXTJOIN( , ,B473,C473)</f>
        <v>Generator_room_v2Spot Cam - PTZ - 12 spot-cam-ptz.jpg</v>
      </c>
    </row>
    <row r="474" s="7" customFormat="true" ht="15.75" hidden="true" customHeight="true" outlineLevel="0" collapsed="false">
      <c r="A474" s="7" t="s">
        <v>20</v>
      </c>
      <c r="B474" s="7" t="s">
        <v>340</v>
      </c>
      <c r="C474" s="7" t="s">
        <v>49</v>
      </c>
      <c r="D474" s="7" t="s">
        <v>351</v>
      </c>
      <c r="E474" s="7" t="s">
        <v>366</v>
      </c>
      <c r="F474" s="7" t="s">
        <v>95</v>
      </c>
      <c r="G474" s="7" t="s">
        <v>78</v>
      </c>
      <c r="T474" s="7" t="str">
        <f aca="false">_xlfn.TEXTJOIN( , ,B474,C474)</f>
        <v>Generator_room_v2Spot Cam - PTZ - 12 spot-cam-ptz.jpg</v>
      </c>
    </row>
    <row r="475" s="7" customFormat="true" ht="15.75" hidden="true" customHeight="true" outlineLevel="0" collapsed="false">
      <c r="A475" s="7" t="s">
        <v>20</v>
      </c>
      <c r="B475" s="7" t="s">
        <v>340</v>
      </c>
      <c r="C475" s="7" t="s">
        <v>49</v>
      </c>
      <c r="D475" s="7" t="s">
        <v>351</v>
      </c>
      <c r="E475" s="7" t="s">
        <v>367</v>
      </c>
      <c r="F475" s="7" t="s">
        <v>95</v>
      </c>
      <c r="G475" s="7" t="s">
        <v>78</v>
      </c>
      <c r="T475" s="7" t="str">
        <f aca="false">_xlfn.TEXTJOIN( , ,B475,C475)</f>
        <v>Generator_room_v2Spot Cam - PTZ - 12 spot-cam-ptz.jpg</v>
      </c>
    </row>
    <row r="476" s="7" customFormat="true" ht="15.75" hidden="true" customHeight="true" outlineLevel="0" collapsed="false">
      <c r="A476" s="7" t="s">
        <v>20</v>
      </c>
      <c r="B476" s="7" t="s">
        <v>340</v>
      </c>
      <c r="C476" s="7" t="s">
        <v>52</v>
      </c>
      <c r="D476" s="7" t="s">
        <v>368</v>
      </c>
      <c r="E476" s="7" t="s">
        <v>348</v>
      </c>
      <c r="F476" s="10" t="s">
        <v>349</v>
      </c>
      <c r="G476" s="7" t="s">
        <v>350</v>
      </c>
      <c r="T476" s="7" t="str">
        <f aca="false">_xlfn.TEXTJOIN( , ,B476,C476)</f>
        <v>Generator_room_v2Spot Cam - PTZ - 15 spot-cam-ptz.jpg</v>
      </c>
    </row>
    <row r="477" s="7" customFormat="true" ht="15.75" hidden="true" customHeight="true" outlineLevel="0" collapsed="false">
      <c r="A477" s="7" t="s">
        <v>20</v>
      </c>
      <c r="B477" s="7" t="s">
        <v>340</v>
      </c>
      <c r="C477" s="7" t="s">
        <v>55</v>
      </c>
      <c r="D477" s="7" t="s">
        <v>23</v>
      </c>
      <c r="F477" s="7" t="s">
        <v>24</v>
      </c>
      <c r="G477" s="7" t="s">
        <v>25</v>
      </c>
      <c r="I477" s="8" t="s">
        <v>26</v>
      </c>
      <c r="J477" s="8" t="s">
        <v>53</v>
      </c>
      <c r="T477" s="7" t="str">
        <f aca="false">_xlfn.TEXTJOIN( , ,B477,C477)</f>
        <v>Generator_room_v2Spot Cam - PTZ - 16 spot-cam-ptz.jpg</v>
      </c>
    </row>
    <row r="478" s="7" customFormat="true" ht="15.75" hidden="true" customHeight="true" outlineLevel="0" collapsed="false">
      <c r="A478" s="7" t="s">
        <v>20</v>
      </c>
      <c r="B478" s="7" t="s">
        <v>340</v>
      </c>
      <c r="C478" s="7" t="s">
        <v>55</v>
      </c>
      <c r="D478" s="7" t="s">
        <v>23</v>
      </c>
      <c r="F478" s="7" t="s">
        <v>24</v>
      </c>
      <c r="G478" s="7" t="s">
        <v>25</v>
      </c>
      <c r="O478" s="8" t="s">
        <v>26</v>
      </c>
      <c r="P478" s="8" t="s">
        <v>53</v>
      </c>
      <c r="T478" s="7" t="str">
        <f aca="false">_xlfn.TEXTJOIN( , ,B478,C478)</f>
        <v>Generator_room_v2Spot Cam - PTZ - 16 spot-cam-ptz.jpg</v>
      </c>
    </row>
    <row r="479" s="7" customFormat="true" ht="15.75" hidden="true" customHeight="true" outlineLevel="0" collapsed="false">
      <c r="A479" s="7" t="s">
        <v>20</v>
      </c>
      <c r="B479" s="7" t="s">
        <v>340</v>
      </c>
      <c r="C479" s="7" t="s">
        <v>55</v>
      </c>
      <c r="D479" s="7" t="s">
        <v>23</v>
      </c>
      <c r="E479" s="7" t="s">
        <v>30</v>
      </c>
      <c r="F479" s="7" t="s">
        <v>31</v>
      </c>
      <c r="G479" s="7" t="s">
        <v>25</v>
      </c>
      <c r="O479" s="8" t="s">
        <v>26</v>
      </c>
      <c r="P479" s="8" t="s">
        <v>53</v>
      </c>
      <c r="T479" s="7" t="str">
        <f aca="false">_xlfn.TEXTJOIN( , ,B479,C479)</f>
        <v>Generator_room_v2Spot Cam - PTZ - 16 spot-cam-ptz.jpg</v>
      </c>
    </row>
    <row r="480" s="7" customFormat="true" ht="15.75" hidden="true" customHeight="true" outlineLevel="0" collapsed="false">
      <c r="A480" s="7" t="s">
        <v>20</v>
      </c>
      <c r="B480" s="7" t="s">
        <v>340</v>
      </c>
      <c r="C480" s="7" t="s">
        <v>56</v>
      </c>
      <c r="D480" s="7" t="s">
        <v>23</v>
      </c>
      <c r="E480" s="7" t="s">
        <v>34</v>
      </c>
      <c r="F480" s="7" t="s">
        <v>35</v>
      </c>
      <c r="G480" s="7" t="s">
        <v>36</v>
      </c>
      <c r="J480" s="7" t="n">
        <v>0</v>
      </c>
      <c r="K480" s="7" t="n">
        <v>10</v>
      </c>
      <c r="L480" s="7" t="n">
        <v>4</v>
      </c>
      <c r="M480" s="7" t="n">
        <v>9</v>
      </c>
      <c r="N480" s="10" t="s">
        <v>37</v>
      </c>
      <c r="O480" s="8" t="s">
        <v>26</v>
      </c>
      <c r="P480" s="8" t="s">
        <v>32</v>
      </c>
      <c r="R480" s="10" t="s">
        <v>38</v>
      </c>
      <c r="T480" s="7" t="str">
        <f aca="false">_xlfn.TEXTJOIN( , ,B480,C480)</f>
        <v>Generator_room_v2Spot Cam - PTZ - 17 spot-cam-ptz.jpg</v>
      </c>
    </row>
    <row r="481" s="7" customFormat="true" ht="15.75" hidden="true" customHeight="true" outlineLevel="0" collapsed="false">
      <c r="A481" s="7" t="s">
        <v>20</v>
      </c>
      <c r="B481" s="7" t="s">
        <v>340</v>
      </c>
      <c r="C481" s="7" t="s">
        <v>56</v>
      </c>
      <c r="D481" s="7" t="s">
        <v>23</v>
      </c>
      <c r="E481" s="7" t="s">
        <v>39</v>
      </c>
      <c r="F481" s="7" t="s">
        <v>35</v>
      </c>
      <c r="G481" s="7" t="s">
        <v>36</v>
      </c>
      <c r="J481" s="7" t="n">
        <v>0</v>
      </c>
      <c r="K481" s="7" t="n">
        <v>10</v>
      </c>
      <c r="L481" s="7" t="n">
        <v>4</v>
      </c>
      <c r="M481" s="7" t="n">
        <v>9</v>
      </c>
      <c r="N481" s="10" t="s">
        <v>37</v>
      </c>
      <c r="O481" s="8" t="s">
        <v>26</v>
      </c>
      <c r="P481" s="8" t="s">
        <v>32</v>
      </c>
      <c r="R481" s="10" t="s">
        <v>38</v>
      </c>
      <c r="T481" s="7" t="str">
        <f aca="false">_xlfn.TEXTJOIN( , ,B481,C481)</f>
        <v>Generator_room_v2Spot Cam - PTZ - 17 spot-cam-ptz.jpg</v>
      </c>
    </row>
    <row r="482" s="7" customFormat="true" ht="15.75" hidden="true" customHeight="true" outlineLevel="0" collapsed="false">
      <c r="A482" s="7" t="s">
        <v>20</v>
      </c>
      <c r="B482" s="7" t="s">
        <v>340</v>
      </c>
      <c r="C482" s="7" t="s">
        <v>262</v>
      </c>
      <c r="D482" s="7" t="s">
        <v>23</v>
      </c>
      <c r="F482" s="7" t="s">
        <v>24</v>
      </c>
      <c r="G482" s="7" t="s">
        <v>25</v>
      </c>
      <c r="I482" s="8" t="s">
        <v>26</v>
      </c>
      <c r="J482" s="8" t="s">
        <v>53</v>
      </c>
      <c r="T482" s="7" t="str">
        <f aca="false">_xlfn.TEXTJOIN( , ,B482,C482)</f>
        <v>Generator_room_v2Spot Cam - PTZ - 19 spot-cam-ptz.jpg</v>
      </c>
    </row>
    <row r="483" s="7" customFormat="true" ht="15.75" hidden="true" customHeight="true" outlineLevel="0" collapsed="false">
      <c r="A483" s="7" t="s">
        <v>20</v>
      </c>
      <c r="B483" s="7" t="s">
        <v>340</v>
      </c>
      <c r="C483" s="7" t="s">
        <v>262</v>
      </c>
      <c r="D483" s="7" t="s">
        <v>23</v>
      </c>
      <c r="F483" s="7" t="s">
        <v>24</v>
      </c>
      <c r="G483" s="7" t="s">
        <v>25</v>
      </c>
      <c r="O483" s="8" t="s">
        <v>26</v>
      </c>
      <c r="P483" s="8" t="s">
        <v>53</v>
      </c>
      <c r="T483" s="7" t="str">
        <f aca="false">_xlfn.TEXTJOIN( , ,B483,C483)</f>
        <v>Generator_room_v2Spot Cam - PTZ - 19 spot-cam-ptz.jpg</v>
      </c>
    </row>
    <row r="484" s="7" customFormat="true" ht="15.75" hidden="true" customHeight="true" outlineLevel="0" collapsed="false">
      <c r="A484" s="7" t="s">
        <v>20</v>
      </c>
      <c r="B484" s="7" t="s">
        <v>340</v>
      </c>
      <c r="C484" s="7" t="s">
        <v>262</v>
      </c>
      <c r="D484" s="7" t="s">
        <v>23</v>
      </c>
      <c r="E484" s="7" t="s">
        <v>30</v>
      </c>
      <c r="F484" s="7" t="s">
        <v>31</v>
      </c>
      <c r="G484" s="7" t="s">
        <v>25</v>
      </c>
      <c r="O484" s="8" t="s">
        <v>26</v>
      </c>
      <c r="P484" s="8" t="s">
        <v>53</v>
      </c>
      <c r="T484" s="7" t="str">
        <f aca="false">_xlfn.TEXTJOIN( , ,B484,C484)</f>
        <v>Generator_room_v2Spot Cam - PTZ - 19 spot-cam-ptz.jpg</v>
      </c>
    </row>
    <row r="485" s="7" customFormat="true" ht="15.75" hidden="true" customHeight="true" outlineLevel="0" collapsed="false">
      <c r="A485" s="7" t="s">
        <v>20</v>
      </c>
      <c r="B485" s="7" t="s">
        <v>340</v>
      </c>
      <c r="C485" s="7" t="s">
        <v>61</v>
      </c>
      <c r="D485" s="7" t="s">
        <v>23</v>
      </c>
      <c r="E485" s="7" t="s">
        <v>34</v>
      </c>
      <c r="F485" s="7" t="s">
        <v>35</v>
      </c>
      <c r="G485" s="7" t="s">
        <v>36</v>
      </c>
      <c r="J485" s="7" t="n">
        <v>0</v>
      </c>
      <c r="K485" s="7" t="n">
        <v>10</v>
      </c>
      <c r="L485" s="7" t="n">
        <v>4</v>
      </c>
      <c r="M485" s="7" t="n">
        <v>9</v>
      </c>
      <c r="N485" s="10" t="s">
        <v>37</v>
      </c>
      <c r="O485" s="8" t="s">
        <v>26</v>
      </c>
      <c r="P485" s="8" t="s">
        <v>32</v>
      </c>
      <c r="R485" s="10" t="s">
        <v>38</v>
      </c>
      <c r="T485" s="7" t="str">
        <f aca="false">_xlfn.TEXTJOIN( , ,B485,C485)</f>
        <v>Generator_room_v2Spot Cam - PTZ - 2 spot-cam-ptz.jpg</v>
      </c>
    </row>
    <row r="486" s="7" customFormat="true" ht="15.75" hidden="true" customHeight="true" outlineLevel="0" collapsed="false">
      <c r="A486" s="7" t="s">
        <v>20</v>
      </c>
      <c r="B486" s="7" t="s">
        <v>340</v>
      </c>
      <c r="C486" s="7" t="s">
        <v>61</v>
      </c>
      <c r="D486" s="7" t="s">
        <v>23</v>
      </c>
      <c r="E486" s="7" t="s">
        <v>39</v>
      </c>
      <c r="F486" s="7" t="s">
        <v>35</v>
      </c>
      <c r="G486" s="7" t="s">
        <v>36</v>
      </c>
      <c r="J486" s="7" t="n">
        <v>0</v>
      </c>
      <c r="K486" s="7" t="n">
        <v>10</v>
      </c>
      <c r="L486" s="7" t="n">
        <v>4</v>
      </c>
      <c r="M486" s="7" t="n">
        <v>9</v>
      </c>
      <c r="N486" s="10" t="s">
        <v>37</v>
      </c>
      <c r="O486" s="8" t="s">
        <v>26</v>
      </c>
      <c r="P486" s="8" t="s">
        <v>32</v>
      </c>
      <c r="R486" s="10" t="s">
        <v>38</v>
      </c>
      <c r="T486" s="7" t="str">
        <f aca="false">_xlfn.TEXTJOIN( , ,B486,C486)</f>
        <v>Generator_room_v2Spot Cam - PTZ - 2 spot-cam-ptz.jpg</v>
      </c>
    </row>
    <row r="487" s="7" customFormat="true" ht="15.75" hidden="true" customHeight="true" outlineLevel="0" collapsed="false">
      <c r="A487" s="7" t="s">
        <v>20</v>
      </c>
      <c r="B487" s="7" t="s">
        <v>340</v>
      </c>
      <c r="C487" s="7" t="s">
        <v>109</v>
      </c>
      <c r="D487" s="7" t="s">
        <v>23</v>
      </c>
      <c r="E487" s="7" t="s">
        <v>34</v>
      </c>
      <c r="F487" s="7" t="s">
        <v>35</v>
      </c>
      <c r="G487" s="7" t="s">
        <v>36</v>
      </c>
      <c r="J487" s="7" t="n">
        <v>0</v>
      </c>
      <c r="K487" s="7" t="n">
        <v>10</v>
      </c>
      <c r="L487" s="7" t="n">
        <v>4</v>
      </c>
      <c r="M487" s="7" t="n">
        <v>9</v>
      </c>
      <c r="N487" s="10" t="s">
        <v>37</v>
      </c>
      <c r="O487" s="8" t="s">
        <v>26</v>
      </c>
      <c r="P487" s="8" t="s">
        <v>32</v>
      </c>
      <c r="R487" s="10" t="s">
        <v>38</v>
      </c>
      <c r="T487" s="7" t="str">
        <f aca="false">_xlfn.TEXTJOIN( , ,B487,C487)</f>
        <v>Generator_room_v2Spot Cam - PTZ - 20 spot-cam-ptz.jpg</v>
      </c>
    </row>
    <row r="488" s="7" customFormat="true" ht="15.75" hidden="true" customHeight="true" outlineLevel="0" collapsed="false">
      <c r="A488" s="7" t="s">
        <v>20</v>
      </c>
      <c r="B488" s="7" t="s">
        <v>340</v>
      </c>
      <c r="C488" s="7" t="s">
        <v>109</v>
      </c>
      <c r="D488" s="7" t="s">
        <v>23</v>
      </c>
      <c r="E488" s="7" t="s">
        <v>39</v>
      </c>
      <c r="F488" s="7" t="s">
        <v>35</v>
      </c>
      <c r="G488" s="7" t="s">
        <v>36</v>
      </c>
      <c r="J488" s="7" t="n">
        <v>0</v>
      </c>
      <c r="K488" s="7" t="n">
        <v>10</v>
      </c>
      <c r="L488" s="7" t="n">
        <v>4</v>
      </c>
      <c r="M488" s="7" t="n">
        <v>9</v>
      </c>
      <c r="N488" s="10" t="s">
        <v>37</v>
      </c>
      <c r="O488" s="8" t="s">
        <v>26</v>
      </c>
      <c r="P488" s="8" t="s">
        <v>32</v>
      </c>
      <c r="R488" s="10" t="s">
        <v>38</v>
      </c>
      <c r="T488" s="7" t="str">
        <f aca="false">_xlfn.TEXTJOIN( , ,B488,C488)</f>
        <v>Generator_room_v2Spot Cam - PTZ - 20 spot-cam-ptz.jpg</v>
      </c>
    </row>
    <row r="489" s="7" customFormat="true" ht="15.75" hidden="true" customHeight="true" outlineLevel="0" collapsed="false">
      <c r="A489" s="7" t="s">
        <v>20</v>
      </c>
      <c r="B489" s="7" t="s">
        <v>340</v>
      </c>
      <c r="C489" s="7" t="s">
        <v>111</v>
      </c>
      <c r="D489" s="7" t="s">
        <v>369</v>
      </c>
      <c r="E489" s="7" t="s">
        <v>370</v>
      </c>
      <c r="F489" s="7" t="s">
        <v>94</v>
      </c>
      <c r="G489" s="7" t="s">
        <v>78</v>
      </c>
      <c r="T489" s="7" t="str">
        <f aca="false">_xlfn.TEXTJOIN( , ,B489,C489)</f>
        <v>Generator_room_v2Spot Cam - PTZ - 21 spot-cam-ptz.jpg</v>
      </c>
    </row>
    <row r="490" s="7" customFormat="true" ht="15.75" hidden="true" customHeight="true" outlineLevel="0" collapsed="false">
      <c r="A490" s="7" t="s">
        <v>20</v>
      </c>
      <c r="B490" s="7" t="s">
        <v>340</v>
      </c>
      <c r="C490" s="7" t="s">
        <v>111</v>
      </c>
      <c r="D490" s="7" t="s">
        <v>371</v>
      </c>
      <c r="E490" s="7" t="s">
        <v>372</v>
      </c>
      <c r="F490" s="7" t="s">
        <v>94</v>
      </c>
      <c r="G490" s="7" t="s">
        <v>78</v>
      </c>
      <c r="T490" s="7" t="str">
        <f aca="false">_xlfn.TEXTJOIN( , ,B490,C490)</f>
        <v>Generator_room_v2Spot Cam - PTZ - 21 spot-cam-ptz.jpg</v>
      </c>
    </row>
    <row r="491" s="7" customFormat="true" ht="15.75" hidden="true" customHeight="true" outlineLevel="0" collapsed="false">
      <c r="A491" s="7" t="s">
        <v>20</v>
      </c>
      <c r="B491" s="7" t="s">
        <v>340</v>
      </c>
      <c r="C491" s="7" t="s">
        <v>111</v>
      </c>
      <c r="D491" s="7" t="s">
        <v>371</v>
      </c>
      <c r="E491" s="7" t="s">
        <v>372</v>
      </c>
      <c r="F491" s="7" t="s">
        <v>94</v>
      </c>
      <c r="G491" s="7" t="s">
        <v>78</v>
      </c>
      <c r="T491" s="7" t="str">
        <f aca="false">_xlfn.TEXTJOIN( , ,B491,C491)</f>
        <v>Generator_room_v2Spot Cam - PTZ - 21 spot-cam-ptz.jpg</v>
      </c>
    </row>
    <row r="492" s="7" customFormat="true" ht="15.75" hidden="true" customHeight="true" outlineLevel="0" collapsed="false">
      <c r="A492" s="7" t="s">
        <v>20</v>
      </c>
      <c r="B492" s="7" t="s">
        <v>340</v>
      </c>
      <c r="C492" s="7" t="s">
        <v>111</v>
      </c>
      <c r="D492" s="7" t="s">
        <v>369</v>
      </c>
      <c r="E492" s="7" t="s">
        <v>370</v>
      </c>
      <c r="F492" s="7" t="s">
        <v>95</v>
      </c>
      <c r="G492" s="7" t="s">
        <v>78</v>
      </c>
      <c r="T492" s="7" t="str">
        <f aca="false">_xlfn.TEXTJOIN( , ,B492,C492)</f>
        <v>Generator_room_v2Spot Cam - PTZ - 21 spot-cam-ptz.jpg</v>
      </c>
    </row>
    <row r="493" s="7" customFormat="true" ht="15.75" hidden="true" customHeight="true" outlineLevel="0" collapsed="false">
      <c r="A493" s="7" t="s">
        <v>20</v>
      </c>
      <c r="B493" s="7" t="s">
        <v>340</v>
      </c>
      <c r="C493" s="7" t="s">
        <v>111</v>
      </c>
      <c r="D493" s="7" t="s">
        <v>371</v>
      </c>
      <c r="E493" s="7" t="s">
        <v>372</v>
      </c>
      <c r="F493" s="7" t="s">
        <v>95</v>
      </c>
      <c r="G493" s="7" t="s">
        <v>78</v>
      </c>
      <c r="T493" s="7" t="str">
        <f aca="false">_xlfn.TEXTJOIN( , ,B493,C493)</f>
        <v>Generator_room_v2Spot Cam - PTZ - 21 spot-cam-ptz.jpg</v>
      </c>
    </row>
    <row r="494" s="7" customFormat="true" ht="15.75" hidden="true" customHeight="true" outlineLevel="0" collapsed="false">
      <c r="A494" s="7" t="s">
        <v>20</v>
      </c>
      <c r="B494" s="7" t="s">
        <v>340</v>
      </c>
      <c r="C494" s="7" t="s">
        <v>111</v>
      </c>
      <c r="D494" s="7" t="s">
        <v>371</v>
      </c>
      <c r="E494" s="7" t="s">
        <v>372</v>
      </c>
      <c r="F494" s="7" t="s">
        <v>95</v>
      </c>
      <c r="G494" s="7" t="s">
        <v>78</v>
      </c>
      <c r="T494" s="7" t="str">
        <f aca="false">_xlfn.TEXTJOIN( , ,B494,C494)</f>
        <v>Generator_room_v2Spot Cam - PTZ - 21 spot-cam-ptz.jpg</v>
      </c>
    </row>
    <row r="495" s="7" customFormat="true" ht="15.75" hidden="true" customHeight="true" outlineLevel="0" collapsed="false">
      <c r="A495" s="7" t="s">
        <v>20</v>
      </c>
      <c r="B495" s="7" t="s">
        <v>340</v>
      </c>
      <c r="C495" s="7" t="s">
        <v>111</v>
      </c>
      <c r="D495" s="7" t="s">
        <v>369</v>
      </c>
      <c r="E495" s="7" t="s">
        <v>370</v>
      </c>
      <c r="F495" s="7" t="s">
        <v>373</v>
      </c>
      <c r="G495" s="7" t="s">
        <v>78</v>
      </c>
      <c r="T495" s="7" t="str">
        <f aca="false">_xlfn.TEXTJOIN( , ,B495,C495)</f>
        <v>Generator_room_v2Spot Cam - PTZ - 21 spot-cam-ptz.jpg</v>
      </c>
    </row>
    <row r="496" s="7" customFormat="true" ht="15.75" hidden="true" customHeight="true" outlineLevel="0" collapsed="false">
      <c r="A496" s="7" t="s">
        <v>20</v>
      </c>
      <c r="B496" s="7" t="s">
        <v>340</v>
      </c>
      <c r="C496" s="7" t="s">
        <v>111</v>
      </c>
      <c r="D496" s="7" t="s">
        <v>371</v>
      </c>
      <c r="E496" s="7" t="s">
        <v>372</v>
      </c>
      <c r="F496" s="7" t="s">
        <v>373</v>
      </c>
      <c r="G496" s="7" t="s">
        <v>78</v>
      </c>
      <c r="T496" s="7" t="str">
        <f aca="false">_xlfn.TEXTJOIN( , ,B496,C496)</f>
        <v>Generator_room_v2Spot Cam - PTZ - 21 spot-cam-ptz.jpg</v>
      </c>
    </row>
    <row r="497" s="7" customFormat="true" ht="15.75" hidden="true" customHeight="true" outlineLevel="0" collapsed="false">
      <c r="A497" s="7" t="s">
        <v>20</v>
      </c>
      <c r="B497" s="7" t="s">
        <v>340</v>
      </c>
      <c r="C497" s="7" t="s">
        <v>111</v>
      </c>
      <c r="D497" s="7" t="s">
        <v>371</v>
      </c>
      <c r="E497" s="7" t="s">
        <v>372</v>
      </c>
      <c r="F497" s="7" t="s">
        <v>373</v>
      </c>
      <c r="G497" s="7" t="s">
        <v>78</v>
      </c>
      <c r="T497" s="7" t="str">
        <f aca="false">_xlfn.TEXTJOIN( , ,B497,C497)</f>
        <v>Generator_room_v2Spot Cam - PTZ - 21 spot-cam-ptz.jpg</v>
      </c>
    </row>
    <row r="498" s="7" customFormat="true" ht="15.75" hidden="true" customHeight="true" outlineLevel="0" collapsed="false">
      <c r="A498" s="7" t="s">
        <v>20</v>
      </c>
      <c r="B498" s="7" t="s">
        <v>340</v>
      </c>
      <c r="C498" s="7" t="s">
        <v>111</v>
      </c>
      <c r="D498" s="7" t="s">
        <v>369</v>
      </c>
      <c r="E498" s="7" t="s">
        <v>370</v>
      </c>
      <c r="F498" s="7" t="s">
        <v>137</v>
      </c>
      <c r="G498" s="7" t="s">
        <v>102</v>
      </c>
      <c r="T498" s="7" t="str">
        <f aca="false">_xlfn.TEXTJOIN( , ,B498,C498)</f>
        <v>Generator_room_v2Spot Cam - PTZ - 21 spot-cam-ptz.jpg</v>
      </c>
    </row>
    <row r="499" s="7" customFormat="true" ht="15.75" hidden="true" customHeight="true" outlineLevel="0" collapsed="false">
      <c r="A499" s="7" t="s">
        <v>20</v>
      </c>
      <c r="B499" s="7" t="s">
        <v>340</v>
      </c>
      <c r="C499" s="7" t="s">
        <v>113</v>
      </c>
      <c r="D499" s="7" t="s">
        <v>369</v>
      </c>
      <c r="E499" s="7" t="s">
        <v>374</v>
      </c>
      <c r="F499" s="7" t="s">
        <v>94</v>
      </c>
      <c r="G499" s="7" t="s">
        <v>78</v>
      </c>
      <c r="T499" s="7" t="str">
        <f aca="false">_xlfn.TEXTJOIN( , ,B499,C499)</f>
        <v>Generator_room_v2Spot Cam - PTZ - 22 spot-cam-ptz.jpg</v>
      </c>
    </row>
    <row r="500" s="7" customFormat="true" ht="15.75" hidden="true" customHeight="true" outlineLevel="0" collapsed="false">
      <c r="A500" s="7" t="s">
        <v>20</v>
      </c>
      <c r="B500" s="7" t="s">
        <v>340</v>
      </c>
      <c r="C500" s="7" t="s">
        <v>113</v>
      </c>
      <c r="D500" s="7" t="s">
        <v>371</v>
      </c>
      <c r="E500" s="7" t="s">
        <v>375</v>
      </c>
      <c r="F500" s="7" t="s">
        <v>94</v>
      </c>
      <c r="G500" s="7" t="s">
        <v>78</v>
      </c>
      <c r="T500" s="7" t="str">
        <f aca="false">_xlfn.TEXTJOIN( , ,B500,C500)</f>
        <v>Generator_room_v2Spot Cam - PTZ - 22 spot-cam-ptz.jpg</v>
      </c>
    </row>
    <row r="501" s="7" customFormat="true" ht="15.75" hidden="true" customHeight="true" outlineLevel="0" collapsed="false">
      <c r="A501" s="7" t="s">
        <v>20</v>
      </c>
      <c r="B501" s="7" t="s">
        <v>340</v>
      </c>
      <c r="C501" s="7" t="s">
        <v>113</v>
      </c>
      <c r="D501" s="7" t="s">
        <v>369</v>
      </c>
      <c r="E501" s="7" t="s">
        <v>374</v>
      </c>
      <c r="F501" s="7" t="s">
        <v>95</v>
      </c>
      <c r="G501" s="7" t="s">
        <v>78</v>
      </c>
      <c r="T501" s="7" t="str">
        <f aca="false">_xlfn.TEXTJOIN( , ,B501,C501)</f>
        <v>Generator_room_v2Spot Cam - PTZ - 22 spot-cam-ptz.jpg</v>
      </c>
    </row>
    <row r="502" s="7" customFormat="true" ht="15.75" hidden="true" customHeight="true" outlineLevel="0" collapsed="false">
      <c r="A502" s="7" t="s">
        <v>20</v>
      </c>
      <c r="B502" s="7" t="s">
        <v>340</v>
      </c>
      <c r="C502" s="7" t="s">
        <v>113</v>
      </c>
      <c r="D502" s="7" t="s">
        <v>371</v>
      </c>
      <c r="E502" s="7" t="s">
        <v>375</v>
      </c>
      <c r="F502" s="7" t="s">
        <v>95</v>
      </c>
      <c r="G502" s="7" t="s">
        <v>78</v>
      </c>
      <c r="T502" s="7" t="str">
        <f aca="false">_xlfn.TEXTJOIN( , ,B502,C502)</f>
        <v>Generator_room_v2Spot Cam - PTZ - 22 spot-cam-ptz.jpg</v>
      </c>
    </row>
    <row r="503" s="7" customFormat="true" ht="15.75" hidden="true" customHeight="true" outlineLevel="0" collapsed="false">
      <c r="A503" s="7" t="s">
        <v>20</v>
      </c>
      <c r="B503" s="7" t="s">
        <v>340</v>
      </c>
      <c r="C503" s="7" t="s">
        <v>113</v>
      </c>
      <c r="D503" s="7" t="s">
        <v>369</v>
      </c>
      <c r="E503" s="7" t="s">
        <v>374</v>
      </c>
      <c r="F503" s="7" t="s">
        <v>373</v>
      </c>
      <c r="G503" s="7" t="s">
        <v>78</v>
      </c>
      <c r="T503" s="7" t="str">
        <f aca="false">_xlfn.TEXTJOIN( , ,B503,C503)</f>
        <v>Generator_room_v2Spot Cam - PTZ - 22 spot-cam-ptz.jpg</v>
      </c>
    </row>
    <row r="504" s="7" customFormat="true" ht="15.75" hidden="true" customHeight="true" outlineLevel="0" collapsed="false">
      <c r="A504" s="7" t="s">
        <v>20</v>
      </c>
      <c r="B504" s="7" t="s">
        <v>340</v>
      </c>
      <c r="C504" s="7" t="s">
        <v>113</v>
      </c>
      <c r="D504" s="7" t="s">
        <v>371</v>
      </c>
      <c r="E504" s="7" t="s">
        <v>375</v>
      </c>
      <c r="F504" s="7" t="s">
        <v>373</v>
      </c>
      <c r="G504" s="7" t="s">
        <v>78</v>
      </c>
      <c r="T504" s="7" t="str">
        <f aca="false">_xlfn.TEXTJOIN( , ,B504,C504)</f>
        <v>Generator_room_v2Spot Cam - PTZ - 22 spot-cam-ptz.jpg</v>
      </c>
    </row>
    <row r="505" s="7" customFormat="true" ht="15.75" hidden="true" customHeight="true" outlineLevel="0" collapsed="false">
      <c r="A505" s="7" t="s">
        <v>20</v>
      </c>
      <c r="B505" s="7" t="s">
        <v>340</v>
      </c>
      <c r="C505" s="7" t="s">
        <v>113</v>
      </c>
      <c r="D505" s="7" t="s">
        <v>369</v>
      </c>
      <c r="E505" s="7" t="s">
        <v>374</v>
      </c>
      <c r="F505" s="7" t="s">
        <v>137</v>
      </c>
      <c r="G505" s="7" t="s">
        <v>102</v>
      </c>
      <c r="T505" s="7" t="str">
        <f aca="false">_xlfn.TEXTJOIN( , ,B505,C505)</f>
        <v>Generator_room_v2Spot Cam - PTZ - 22 spot-cam-ptz.jpg</v>
      </c>
    </row>
    <row r="506" s="7" customFormat="true" ht="15.75" hidden="true" customHeight="true" outlineLevel="0" collapsed="false">
      <c r="A506" s="7" t="s">
        <v>20</v>
      </c>
      <c r="B506" s="7" t="s">
        <v>340</v>
      </c>
      <c r="C506" s="7" t="s">
        <v>114</v>
      </c>
      <c r="D506" s="7" t="s">
        <v>369</v>
      </c>
      <c r="E506" s="7" t="s">
        <v>376</v>
      </c>
      <c r="F506" s="7" t="s">
        <v>94</v>
      </c>
      <c r="G506" s="7" t="s">
        <v>78</v>
      </c>
      <c r="T506" s="7" t="str">
        <f aca="false">_xlfn.TEXTJOIN( , ,B506,C506)</f>
        <v>Generator_room_v2Spot Cam - PTZ - 23 spot-cam-ptz.jpg</v>
      </c>
    </row>
    <row r="507" s="7" customFormat="true" ht="15.75" hidden="true" customHeight="true" outlineLevel="0" collapsed="false">
      <c r="A507" s="7" t="s">
        <v>20</v>
      </c>
      <c r="B507" s="7" t="s">
        <v>340</v>
      </c>
      <c r="C507" s="7" t="s">
        <v>114</v>
      </c>
      <c r="D507" s="7" t="s">
        <v>369</v>
      </c>
      <c r="E507" s="7" t="s">
        <v>376</v>
      </c>
      <c r="F507" s="7" t="s">
        <v>95</v>
      </c>
      <c r="G507" s="7" t="s">
        <v>78</v>
      </c>
      <c r="T507" s="7" t="str">
        <f aca="false">_xlfn.TEXTJOIN( , ,B507,C507)</f>
        <v>Generator_room_v2Spot Cam - PTZ - 23 spot-cam-ptz.jpg</v>
      </c>
    </row>
    <row r="508" s="7" customFormat="true" ht="15.75" hidden="true" customHeight="true" outlineLevel="0" collapsed="false">
      <c r="A508" s="7" t="s">
        <v>20</v>
      </c>
      <c r="B508" s="7" t="s">
        <v>340</v>
      </c>
      <c r="C508" s="7" t="s">
        <v>114</v>
      </c>
      <c r="D508" s="7" t="s">
        <v>369</v>
      </c>
      <c r="E508" s="7" t="s">
        <v>376</v>
      </c>
      <c r="F508" s="7" t="s">
        <v>373</v>
      </c>
      <c r="G508" s="7" t="s">
        <v>78</v>
      </c>
      <c r="T508" s="7" t="str">
        <f aca="false">_xlfn.TEXTJOIN( , ,B508,C508)</f>
        <v>Generator_room_v2Spot Cam - PTZ - 23 spot-cam-ptz.jpg</v>
      </c>
    </row>
    <row r="509" s="7" customFormat="true" ht="15.75" hidden="true" customHeight="true" outlineLevel="0" collapsed="false">
      <c r="A509" s="7" t="s">
        <v>20</v>
      </c>
      <c r="B509" s="7" t="s">
        <v>340</v>
      </c>
      <c r="C509" s="7" t="s">
        <v>114</v>
      </c>
      <c r="D509" s="7" t="s">
        <v>369</v>
      </c>
      <c r="E509" s="7" t="s">
        <v>376</v>
      </c>
      <c r="F509" s="7" t="s">
        <v>137</v>
      </c>
      <c r="G509" s="7" t="s">
        <v>102</v>
      </c>
      <c r="T509" s="7" t="str">
        <f aca="false">_xlfn.TEXTJOIN( , ,B509,C509)</f>
        <v>Generator_room_v2Spot Cam - PTZ - 23 spot-cam-ptz.jpg</v>
      </c>
    </row>
    <row r="510" s="7" customFormat="true" ht="15.75" hidden="true" customHeight="true" outlineLevel="0" collapsed="false">
      <c r="A510" s="7" t="s">
        <v>20</v>
      </c>
      <c r="B510" s="7" t="s">
        <v>340</v>
      </c>
      <c r="C510" s="7" t="s">
        <v>116</v>
      </c>
      <c r="D510" s="7" t="s">
        <v>369</v>
      </c>
      <c r="E510" s="7" t="s">
        <v>377</v>
      </c>
      <c r="F510" s="7" t="s">
        <v>94</v>
      </c>
      <c r="G510" s="7" t="s">
        <v>78</v>
      </c>
      <c r="T510" s="7" t="str">
        <f aca="false">_xlfn.TEXTJOIN( , ,B510,C510)</f>
        <v>Generator_room_v2Spot Cam - PTZ - 24 spot-cam-ptz.jpg</v>
      </c>
    </row>
    <row r="511" s="7" customFormat="true" ht="15.75" hidden="true" customHeight="true" outlineLevel="0" collapsed="false">
      <c r="A511" s="7" t="s">
        <v>20</v>
      </c>
      <c r="B511" s="7" t="s">
        <v>340</v>
      </c>
      <c r="C511" s="7" t="s">
        <v>116</v>
      </c>
      <c r="D511" s="7" t="s">
        <v>369</v>
      </c>
      <c r="E511" s="7" t="s">
        <v>377</v>
      </c>
      <c r="F511" s="7" t="s">
        <v>95</v>
      </c>
      <c r="G511" s="7" t="s">
        <v>78</v>
      </c>
      <c r="T511" s="7" t="str">
        <f aca="false">_xlfn.TEXTJOIN( , ,B511,C511)</f>
        <v>Generator_room_v2Spot Cam - PTZ - 24 spot-cam-ptz.jpg</v>
      </c>
    </row>
    <row r="512" s="7" customFormat="true" ht="15.75" hidden="true" customHeight="true" outlineLevel="0" collapsed="false">
      <c r="A512" s="7" t="s">
        <v>20</v>
      </c>
      <c r="B512" s="7" t="s">
        <v>340</v>
      </c>
      <c r="C512" s="7" t="s">
        <v>116</v>
      </c>
      <c r="D512" s="7" t="s">
        <v>369</v>
      </c>
      <c r="E512" s="7" t="s">
        <v>377</v>
      </c>
      <c r="F512" s="7" t="s">
        <v>373</v>
      </c>
      <c r="G512" s="7" t="s">
        <v>78</v>
      </c>
      <c r="T512" s="7" t="str">
        <f aca="false">_xlfn.TEXTJOIN( , ,B512,C512)</f>
        <v>Generator_room_v2Spot Cam - PTZ - 24 spot-cam-ptz.jpg</v>
      </c>
    </row>
    <row r="513" s="7" customFormat="true" ht="15.75" hidden="true" customHeight="true" outlineLevel="0" collapsed="false">
      <c r="A513" s="7" t="s">
        <v>20</v>
      </c>
      <c r="B513" s="7" t="s">
        <v>340</v>
      </c>
      <c r="C513" s="7" t="s">
        <v>116</v>
      </c>
      <c r="D513" s="7" t="s">
        <v>369</v>
      </c>
      <c r="E513" s="7" t="s">
        <v>377</v>
      </c>
      <c r="F513" s="7" t="s">
        <v>137</v>
      </c>
      <c r="G513" s="7" t="s">
        <v>102</v>
      </c>
      <c r="T513" s="7" t="str">
        <f aca="false">_xlfn.TEXTJOIN( , ,B513,C513)</f>
        <v>Generator_room_v2Spot Cam - PTZ - 24 spot-cam-ptz.jpg</v>
      </c>
    </row>
    <row r="514" s="7" customFormat="true" ht="15.75" hidden="true" customHeight="true" outlineLevel="0" collapsed="false">
      <c r="A514" s="7" t="s">
        <v>20</v>
      </c>
      <c r="B514" s="7" t="s">
        <v>340</v>
      </c>
      <c r="C514" s="7" t="s">
        <v>118</v>
      </c>
      <c r="D514" s="7" t="s">
        <v>378</v>
      </c>
      <c r="E514" s="10" t="s">
        <v>379</v>
      </c>
      <c r="F514" s="7" t="s">
        <v>94</v>
      </c>
      <c r="G514" s="7" t="s">
        <v>78</v>
      </c>
      <c r="T514" s="7" t="str">
        <f aca="false">_xlfn.TEXTJOIN( , ,B514,C514)</f>
        <v>Generator_room_v2Spot Cam - PTZ - 25 spot-cam-ptz.jpg</v>
      </c>
    </row>
    <row r="515" s="7" customFormat="true" ht="15.75" hidden="true" customHeight="true" outlineLevel="0" collapsed="false">
      <c r="A515" s="7" t="s">
        <v>20</v>
      </c>
      <c r="B515" s="7" t="s">
        <v>340</v>
      </c>
      <c r="C515" s="7" t="s">
        <v>118</v>
      </c>
      <c r="D515" s="7" t="s">
        <v>378</v>
      </c>
      <c r="E515" s="10" t="s">
        <v>380</v>
      </c>
      <c r="F515" s="7" t="s">
        <v>94</v>
      </c>
      <c r="G515" s="7" t="s">
        <v>78</v>
      </c>
      <c r="T515" s="7" t="str">
        <f aca="false">_xlfn.TEXTJOIN( , ,B515,C515)</f>
        <v>Generator_room_v2Spot Cam - PTZ - 25 spot-cam-ptz.jpg</v>
      </c>
    </row>
    <row r="516" s="7" customFormat="true" ht="15.75" hidden="true" customHeight="true" outlineLevel="0" collapsed="false">
      <c r="A516" s="7" t="s">
        <v>20</v>
      </c>
      <c r="B516" s="7" t="s">
        <v>340</v>
      </c>
      <c r="C516" s="7" t="s">
        <v>118</v>
      </c>
      <c r="D516" s="7" t="s">
        <v>378</v>
      </c>
      <c r="E516" s="10" t="s">
        <v>381</v>
      </c>
      <c r="F516" s="7" t="s">
        <v>94</v>
      </c>
      <c r="G516" s="7" t="s">
        <v>78</v>
      </c>
      <c r="T516" s="7" t="str">
        <f aca="false">_xlfn.TEXTJOIN( , ,B516,C516)</f>
        <v>Generator_room_v2Spot Cam - PTZ - 25 spot-cam-ptz.jpg</v>
      </c>
    </row>
    <row r="517" s="7" customFormat="true" ht="15.75" hidden="true" customHeight="true" outlineLevel="0" collapsed="false">
      <c r="A517" s="7" t="s">
        <v>20</v>
      </c>
      <c r="B517" s="7" t="s">
        <v>340</v>
      </c>
      <c r="C517" s="7" t="s">
        <v>118</v>
      </c>
      <c r="D517" s="7" t="s">
        <v>378</v>
      </c>
      <c r="E517" s="10" t="s">
        <v>382</v>
      </c>
      <c r="F517" s="7" t="s">
        <v>94</v>
      </c>
      <c r="G517" s="7" t="s">
        <v>78</v>
      </c>
      <c r="T517" s="7" t="str">
        <f aca="false">_xlfn.TEXTJOIN( , ,B517,C517)</f>
        <v>Generator_room_v2Spot Cam - PTZ - 25 spot-cam-ptz.jpg</v>
      </c>
    </row>
    <row r="518" s="7" customFormat="true" ht="15.75" hidden="true" customHeight="true" outlineLevel="0" collapsed="false">
      <c r="A518" s="7" t="s">
        <v>20</v>
      </c>
      <c r="B518" s="7" t="s">
        <v>340</v>
      </c>
      <c r="C518" s="7" t="s">
        <v>118</v>
      </c>
      <c r="D518" s="7" t="s">
        <v>378</v>
      </c>
      <c r="E518" s="10" t="s">
        <v>383</v>
      </c>
      <c r="F518" s="7" t="s">
        <v>94</v>
      </c>
      <c r="G518" s="7" t="s">
        <v>78</v>
      </c>
      <c r="T518" s="7" t="str">
        <f aca="false">_xlfn.TEXTJOIN( , ,B518,C518)</f>
        <v>Generator_room_v2Spot Cam - PTZ - 25 spot-cam-ptz.jpg</v>
      </c>
    </row>
    <row r="519" s="7" customFormat="true" ht="15.75" hidden="true" customHeight="true" outlineLevel="0" collapsed="false">
      <c r="A519" s="7" t="s">
        <v>20</v>
      </c>
      <c r="B519" s="7" t="s">
        <v>340</v>
      </c>
      <c r="C519" s="7" t="s">
        <v>118</v>
      </c>
      <c r="D519" s="7" t="s">
        <v>378</v>
      </c>
      <c r="E519" s="10" t="s">
        <v>384</v>
      </c>
      <c r="F519" s="7" t="s">
        <v>88</v>
      </c>
      <c r="G519" s="7" t="s">
        <v>78</v>
      </c>
      <c r="T519" s="7" t="str">
        <f aca="false">_xlfn.TEXTJOIN( , ,B519,C519)</f>
        <v>Generator_room_v2Spot Cam - PTZ - 25 spot-cam-ptz.jpg</v>
      </c>
    </row>
    <row r="520" s="7" customFormat="true" ht="15.75" hidden="true" customHeight="true" outlineLevel="0" collapsed="false">
      <c r="A520" s="7" t="s">
        <v>20</v>
      </c>
      <c r="B520" s="7" t="s">
        <v>340</v>
      </c>
      <c r="C520" s="7" t="s">
        <v>118</v>
      </c>
      <c r="D520" s="7" t="s">
        <v>378</v>
      </c>
      <c r="E520" s="10" t="s">
        <v>385</v>
      </c>
      <c r="F520" s="7" t="s">
        <v>88</v>
      </c>
      <c r="G520" s="7" t="s">
        <v>78</v>
      </c>
      <c r="T520" s="7" t="str">
        <f aca="false">_xlfn.TEXTJOIN( , ,B520,C520)</f>
        <v>Generator_room_v2Spot Cam - PTZ - 25 spot-cam-ptz.jpg</v>
      </c>
    </row>
    <row r="521" s="7" customFormat="true" ht="15.75" hidden="true" customHeight="true" outlineLevel="0" collapsed="false">
      <c r="A521" s="7" t="s">
        <v>20</v>
      </c>
      <c r="B521" s="7" t="s">
        <v>340</v>
      </c>
      <c r="C521" s="7" t="s">
        <v>118</v>
      </c>
      <c r="D521" s="7" t="s">
        <v>378</v>
      </c>
      <c r="E521" s="10" t="s">
        <v>386</v>
      </c>
      <c r="F521" s="7" t="s">
        <v>88</v>
      </c>
      <c r="G521" s="7" t="s">
        <v>78</v>
      </c>
      <c r="T521" s="7" t="str">
        <f aca="false">_xlfn.TEXTJOIN( , ,B521,C521)</f>
        <v>Generator_room_v2Spot Cam - PTZ - 25 spot-cam-ptz.jpg</v>
      </c>
    </row>
    <row r="522" s="7" customFormat="true" ht="15.75" hidden="true" customHeight="true" outlineLevel="0" collapsed="false">
      <c r="A522" s="7" t="s">
        <v>20</v>
      </c>
      <c r="B522" s="7" t="s">
        <v>340</v>
      </c>
      <c r="C522" s="7" t="s">
        <v>118</v>
      </c>
      <c r="D522" s="7" t="s">
        <v>378</v>
      </c>
      <c r="E522" s="10" t="s">
        <v>387</v>
      </c>
      <c r="F522" s="7" t="s">
        <v>88</v>
      </c>
      <c r="G522" s="7" t="s">
        <v>78</v>
      </c>
      <c r="T522" s="7" t="str">
        <f aca="false">_xlfn.TEXTJOIN( , ,B522,C522)</f>
        <v>Generator_room_v2Spot Cam - PTZ - 25 spot-cam-ptz.jpg</v>
      </c>
    </row>
    <row r="523" s="7" customFormat="true" ht="15.75" hidden="true" customHeight="true" outlineLevel="0" collapsed="false">
      <c r="A523" s="7" t="s">
        <v>20</v>
      </c>
      <c r="B523" s="7" t="s">
        <v>340</v>
      </c>
      <c r="C523" s="7" t="s">
        <v>118</v>
      </c>
      <c r="D523" s="7" t="s">
        <v>378</v>
      </c>
      <c r="E523" s="10" t="s">
        <v>388</v>
      </c>
      <c r="F523" s="7" t="s">
        <v>88</v>
      </c>
      <c r="G523" s="7" t="s">
        <v>78</v>
      </c>
      <c r="T523" s="7" t="str">
        <f aca="false">_xlfn.TEXTJOIN( , ,B523,C523)</f>
        <v>Generator_room_v2Spot Cam - PTZ - 25 spot-cam-ptz.jpg</v>
      </c>
    </row>
    <row r="524" s="7" customFormat="true" ht="15.75" hidden="false" customHeight="true" outlineLevel="0" collapsed="false">
      <c r="A524" s="7" t="s">
        <v>20</v>
      </c>
      <c r="B524" s="7" t="s">
        <v>340</v>
      </c>
      <c r="C524" s="7" t="s">
        <v>119</v>
      </c>
      <c r="D524" s="7" t="s">
        <v>389</v>
      </c>
      <c r="F524" s="7" t="s">
        <v>327</v>
      </c>
      <c r="G524" s="7" t="s">
        <v>44</v>
      </c>
      <c r="O524" s="8" t="s">
        <v>45</v>
      </c>
      <c r="P524" s="8" t="s">
        <v>46</v>
      </c>
      <c r="Q524" s="8" t="s">
        <v>47</v>
      </c>
      <c r="S524" s="11" t="s">
        <v>329</v>
      </c>
      <c r="T524" s="7" t="str">
        <f aca="false">_xlfn.TEXTJOIN( , ,B524,C524)</f>
        <v>Generator_room_v2Spot Cam - PTZ - 27 spot-cam-ptz.jpg</v>
      </c>
    </row>
    <row r="525" s="7" customFormat="true" ht="15.75" hidden="true" customHeight="true" outlineLevel="0" collapsed="false">
      <c r="A525" s="7" t="s">
        <v>20</v>
      </c>
      <c r="B525" s="7" t="s">
        <v>340</v>
      </c>
      <c r="C525" s="7" t="s">
        <v>68</v>
      </c>
      <c r="D525" s="7" t="s">
        <v>378</v>
      </c>
      <c r="E525" s="7" t="s">
        <v>390</v>
      </c>
      <c r="F525" s="7" t="s">
        <v>391</v>
      </c>
      <c r="G525" s="7" t="s">
        <v>36</v>
      </c>
      <c r="J525" s="7" t="n">
        <v>0</v>
      </c>
      <c r="K525" s="7" t="n">
        <v>300</v>
      </c>
      <c r="L525" s="7" t="n">
        <v>0</v>
      </c>
      <c r="M525" s="7" t="n">
        <v>0</v>
      </c>
      <c r="N525" s="7" t="s">
        <v>286</v>
      </c>
      <c r="S525" s="10"/>
      <c r="T525" s="7" t="str">
        <f aca="false">_xlfn.TEXTJOIN( , ,B525,C525)</f>
        <v>Generator_room_v2Spot Cam - PTZ - 5 spot-cam-ptz.jpg</v>
      </c>
    </row>
    <row r="526" s="7" customFormat="true" ht="15.75" hidden="true" customHeight="true" outlineLevel="0" collapsed="false">
      <c r="A526" s="7" t="s">
        <v>20</v>
      </c>
      <c r="B526" s="7" t="s">
        <v>340</v>
      </c>
      <c r="C526" s="7" t="s">
        <v>68</v>
      </c>
      <c r="D526" s="7" t="s">
        <v>378</v>
      </c>
      <c r="E526" s="7" t="s">
        <v>392</v>
      </c>
      <c r="F526" s="7" t="s">
        <v>373</v>
      </c>
      <c r="G526" s="7" t="s">
        <v>78</v>
      </c>
      <c r="T526" s="7" t="str">
        <f aca="false">_xlfn.TEXTJOIN( , ,B526,C526)</f>
        <v>Generator_room_v2Spot Cam - PTZ - 5 spot-cam-ptz.jpg</v>
      </c>
    </row>
    <row r="527" s="7" customFormat="true" ht="15.75" hidden="true" customHeight="true" outlineLevel="0" collapsed="false">
      <c r="A527" s="7" t="s">
        <v>20</v>
      </c>
      <c r="B527" s="7" t="s">
        <v>340</v>
      </c>
      <c r="C527" s="7" t="s">
        <v>69</v>
      </c>
      <c r="D527" s="7" t="s">
        <v>378</v>
      </c>
      <c r="E527" s="7" t="s">
        <v>393</v>
      </c>
      <c r="F527" s="7" t="s">
        <v>106</v>
      </c>
      <c r="G527" s="7" t="s">
        <v>78</v>
      </c>
      <c r="T527" s="7" t="str">
        <f aca="false">_xlfn.TEXTJOIN( , ,B527,C527)</f>
        <v>Generator_room_v2Spot Cam - PTZ - 6 spot-cam-ptz.jpg</v>
      </c>
    </row>
    <row r="528" s="7" customFormat="true" ht="15.75" hidden="true" customHeight="true" outlineLevel="0" collapsed="false">
      <c r="A528" s="7" t="s">
        <v>20</v>
      </c>
      <c r="B528" s="7" t="s">
        <v>340</v>
      </c>
      <c r="C528" s="7" t="s">
        <v>70</v>
      </c>
      <c r="D528" s="7" t="s">
        <v>394</v>
      </c>
      <c r="E528" s="7" t="s">
        <v>395</v>
      </c>
      <c r="F528" s="7" t="s">
        <v>396</v>
      </c>
      <c r="G528" s="7" t="s">
        <v>102</v>
      </c>
      <c r="P528" s="8" t="s">
        <v>397</v>
      </c>
      <c r="T528" s="7" t="str">
        <f aca="false">_xlfn.TEXTJOIN( , ,B528,C528)</f>
        <v>Generator_room_v2Spot Cam - PTZ - 7 spot-cam-ptz.jpg</v>
      </c>
    </row>
    <row r="529" s="7" customFormat="true" ht="15.75" hidden="true" customHeight="true" outlineLevel="0" collapsed="false">
      <c r="A529" s="7" t="s">
        <v>20</v>
      </c>
      <c r="B529" s="7" t="s">
        <v>340</v>
      </c>
      <c r="C529" s="7" t="s">
        <v>70</v>
      </c>
      <c r="D529" s="7" t="s">
        <v>394</v>
      </c>
      <c r="E529" s="7" t="s">
        <v>398</v>
      </c>
      <c r="F529" s="7" t="s">
        <v>399</v>
      </c>
      <c r="G529" s="7" t="s">
        <v>102</v>
      </c>
      <c r="T529" s="7" t="str">
        <f aca="false">_xlfn.TEXTJOIN( , ,B529,C529)</f>
        <v>Generator_room_v2Spot Cam - PTZ - 7 spot-cam-ptz.jpg</v>
      </c>
    </row>
    <row r="530" s="7" customFormat="true" ht="15.75" hidden="false" customHeight="true" outlineLevel="0" collapsed="false">
      <c r="A530" s="7" t="s">
        <v>20</v>
      </c>
      <c r="B530" s="7" t="s">
        <v>340</v>
      </c>
      <c r="C530" s="7" t="s">
        <v>71</v>
      </c>
      <c r="D530" s="7" t="s">
        <v>400</v>
      </c>
      <c r="E530" s="7" t="s">
        <v>401</v>
      </c>
      <c r="F530" s="7" t="s">
        <v>402</v>
      </c>
      <c r="G530" s="7" t="s">
        <v>44</v>
      </c>
      <c r="P530" s="8" t="s">
        <v>397</v>
      </c>
      <c r="S530" s="11" t="s">
        <v>403</v>
      </c>
      <c r="T530" s="7" t="str">
        <f aca="false">_xlfn.TEXTJOIN( , ,B530,C530)</f>
        <v>Generator_room_v2Spot Cam - PTZ - 8 spot-cam-ptz.jpg</v>
      </c>
    </row>
    <row r="531" s="7" customFormat="true" ht="15.75" hidden="false" customHeight="true" outlineLevel="0" collapsed="false">
      <c r="A531" s="7" t="s">
        <v>20</v>
      </c>
      <c r="B531" s="7" t="s">
        <v>340</v>
      </c>
      <c r="C531" s="7" t="s">
        <v>71</v>
      </c>
      <c r="D531" s="7" t="s">
        <v>400</v>
      </c>
      <c r="E531" s="7" t="s">
        <v>404</v>
      </c>
      <c r="F531" s="7" t="s">
        <v>402</v>
      </c>
      <c r="G531" s="7" t="s">
        <v>44</v>
      </c>
      <c r="S531" s="11" t="s">
        <v>403</v>
      </c>
      <c r="T531" s="7" t="str">
        <f aca="false">_xlfn.TEXTJOIN( , ,B531,C531)</f>
        <v>Generator_room_v2Spot Cam - PTZ - 8 spot-cam-ptz.jpg</v>
      </c>
    </row>
    <row r="532" s="7" customFormat="true" ht="15.75" hidden="true" customHeight="true" outlineLevel="0" collapsed="false">
      <c r="A532" s="7" t="s">
        <v>20</v>
      </c>
      <c r="B532" s="7" t="s">
        <v>340</v>
      </c>
      <c r="C532" s="7" t="s">
        <v>73</v>
      </c>
      <c r="D532" s="7" t="s">
        <v>23</v>
      </c>
      <c r="E532" s="7" t="s">
        <v>34</v>
      </c>
      <c r="F532" s="7" t="s">
        <v>35</v>
      </c>
      <c r="G532" s="7" t="s">
        <v>36</v>
      </c>
      <c r="J532" s="7" t="n">
        <v>0</v>
      </c>
      <c r="K532" s="7" t="n">
        <v>10</v>
      </c>
      <c r="L532" s="7" t="n">
        <v>4</v>
      </c>
      <c r="M532" s="7" t="n">
        <v>9</v>
      </c>
      <c r="N532" s="10" t="s">
        <v>37</v>
      </c>
      <c r="O532" s="8" t="s">
        <v>26</v>
      </c>
      <c r="P532" s="8" t="s">
        <v>32</v>
      </c>
      <c r="R532" s="10" t="s">
        <v>38</v>
      </c>
      <c r="T532" s="7" t="str">
        <f aca="false">_xlfn.TEXTJOIN( , ,B532,C532)</f>
        <v>Generator_room_v2Spot Cam - PTZ - 9 spot-cam-ptz.jpg</v>
      </c>
    </row>
    <row r="533" s="7" customFormat="true" ht="15.75" hidden="true" customHeight="true" outlineLevel="0" collapsed="false">
      <c r="A533" s="7" t="s">
        <v>20</v>
      </c>
      <c r="B533" s="7" t="s">
        <v>340</v>
      </c>
      <c r="C533" s="7" t="s">
        <v>73</v>
      </c>
      <c r="D533" s="7" t="s">
        <v>23</v>
      </c>
      <c r="E533" s="7" t="s">
        <v>39</v>
      </c>
      <c r="F533" s="7" t="s">
        <v>35</v>
      </c>
      <c r="G533" s="7" t="s">
        <v>36</v>
      </c>
      <c r="J533" s="7" t="n">
        <v>0</v>
      </c>
      <c r="K533" s="7" t="n">
        <v>10</v>
      </c>
      <c r="L533" s="7" t="n">
        <v>4</v>
      </c>
      <c r="M533" s="7" t="n">
        <v>9</v>
      </c>
      <c r="N533" s="10" t="s">
        <v>37</v>
      </c>
      <c r="O533" s="8" t="s">
        <v>26</v>
      </c>
      <c r="P533" s="8" t="s">
        <v>32</v>
      </c>
      <c r="R533" s="10" t="s">
        <v>38</v>
      </c>
      <c r="T533" s="7" t="str">
        <f aca="false">_xlfn.TEXTJOIN( , ,B533,C533)</f>
        <v>Generator_room_v2Spot Cam - PTZ - 9 spot-cam-ptz.jpg</v>
      </c>
    </row>
    <row r="534" s="7" customFormat="true" ht="15.75" hidden="true" customHeight="true" outlineLevel="0" collapsed="false">
      <c r="A534" s="7" t="s">
        <v>20</v>
      </c>
      <c r="B534" s="7" t="s">
        <v>340</v>
      </c>
      <c r="C534" s="7" t="s">
        <v>73</v>
      </c>
      <c r="D534" s="7" t="s">
        <v>23</v>
      </c>
      <c r="F534" s="7" t="s">
        <v>24</v>
      </c>
      <c r="G534" s="7" t="s">
        <v>25</v>
      </c>
      <c r="I534" s="8" t="s">
        <v>26</v>
      </c>
      <c r="J534" s="8" t="s">
        <v>32</v>
      </c>
      <c r="T534" s="7" t="str">
        <f aca="false">_xlfn.TEXTJOIN( , ,B534,C534)</f>
        <v>Generator_room_v2Spot Cam - PTZ - 9 spot-cam-ptz.jpg</v>
      </c>
    </row>
    <row r="535" s="7" customFormat="true" ht="15.75" hidden="true" customHeight="true" outlineLevel="0" collapsed="false">
      <c r="A535" s="7" t="s">
        <v>20</v>
      </c>
      <c r="B535" s="7" t="s">
        <v>340</v>
      </c>
      <c r="C535" s="7" t="s">
        <v>73</v>
      </c>
      <c r="D535" s="7" t="s">
        <v>23</v>
      </c>
      <c r="F535" s="7" t="s">
        <v>24</v>
      </c>
      <c r="G535" s="7" t="s">
        <v>25</v>
      </c>
      <c r="O535" s="8" t="s">
        <v>26</v>
      </c>
      <c r="P535" s="8" t="s">
        <v>32</v>
      </c>
      <c r="T535" s="7" t="str">
        <f aca="false">_xlfn.TEXTJOIN( , ,B535,C535)</f>
        <v>Generator_room_v2Spot Cam - PTZ - 9 spot-cam-ptz.jpg</v>
      </c>
    </row>
    <row r="536" s="7" customFormat="true" ht="15.75" hidden="true" customHeight="true" outlineLevel="0" collapsed="false">
      <c r="A536" s="7" t="s">
        <v>20</v>
      </c>
      <c r="B536" s="7" t="s">
        <v>340</v>
      </c>
      <c r="C536" s="7" t="s">
        <v>73</v>
      </c>
      <c r="D536" s="7" t="s">
        <v>23</v>
      </c>
      <c r="E536" s="7" t="s">
        <v>30</v>
      </c>
      <c r="F536" s="7" t="s">
        <v>31</v>
      </c>
      <c r="G536" s="7" t="s">
        <v>25</v>
      </c>
      <c r="O536" s="8" t="s">
        <v>26</v>
      </c>
      <c r="P536" s="8" t="s">
        <v>53</v>
      </c>
      <c r="T536" s="7" t="str">
        <f aca="false">_xlfn.TEXTJOIN( , ,B536,C536)</f>
        <v>Generator_room_v2Spot Cam - PTZ - 9 spot-cam-ptz.jpg</v>
      </c>
    </row>
    <row r="537" s="7" customFormat="true" ht="15.75" hidden="false" customHeight="true" outlineLevel="0" collapsed="false">
      <c r="A537" s="7" t="s">
        <v>20</v>
      </c>
      <c r="B537" s="7" t="s">
        <v>405</v>
      </c>
      <c r="C537" s="7" t="s">
        <v>33</v>
      </c>
      <c r="D537" s="7" t="s">
        <v>406</v>
      </c>
      <c r="F537" s="10" t="s">
        <v>407</v>
      </c>
      <c r="G537" s="7" t="s">
        <v>44</v>
      </c>
      <c r="O537" s="8" t="s">
        <v>408</v>
      </c>
      <c r="P537" s="8" t="s">
        <v>409</v>
      </c>
      <c r="Q537" s="8" t="s">
        <v>410</v>
      </c>
      <c r="S537" s="11" t="s">
        <v>411</v>
      </c>
      <c r="T537" s="7" t="str">
        <f aca="false">_xlfn.TEXTJOIN( , ,B537,C537)</f>
        <v>machine_room_v4Spot Cam - PTZ - 10 spot-cam-ptz.jpg</v>
      </c>
    </row>
    <row r="538" s="7" customFormat="true" ht="15.75" hidden="true" customHeight="true" outlineLevel="0" collapsed="false">
      <c r="A538" s="7" t="s">
        <v>20</v>
      </c>
      <c r="B538" s="7" t="s">
        <v>405</v>
      </c>
      <c r="C538" s="7" t="s">
        <v>40</v>
      </c>
      <c r="D538" s="7" t="s">
        <v>412</v>
      </c>
      <c r="E538" s="7" t="s">
        <v>413</v>
      </c>
      <c r="F538" s="7" t="s">
        <v>414</v>
      </c>
      <c r="G538" s="7" t="s">
        <v>36</v>
      </c>
      <c r="J538" s="7" t="n">
        <v>0</v>
      </c>
      <c r="K538" s="7" t="n">
        <v>1.5</v>
      </c>
      <c r="L538" s="7" t="n">
        <v>0.6</v>
      </c>
      <c r="M538" s="7" t="n">
        <v>0.7</v>
      </c>
      <c r="N538" s="7" t="s">
        <v>415</v>
      </c>
      <c r="O538" s="8" t="s">
        <v>416</v>
      </c>
      <c r="P538" s="8" t="s">
        <v>417</v>
      </c>
      <c r="Q538" s="8" t="s">
        <v>418</v>
      </c>
      <c r="T538" s="7" t="str">
        <f aca="false">_xlfn.TEXTJOIN( , ,B538,C538)</f>
        <v>machine_room_v4Spot Cam - PTZ - 11 spot-cam-ptz.jpg</v>
      </c>
    </row>
    <row r="539" s="7" customFormat="true" ht="15.75" hidden="true" customHeight="true" outlineLevel="0" collapsed="false">
      <c r="A539" s="7" t="s">
        <v>20</v>
      </c>
      <c r="B539" s="7" t="s">
        <v>405</v>
      </c>
      <c r="C539" s="7" t="s">
        <v>40</v>
      </c>
      <c r="D539" s="7" t="s">
        <v>412</v>
      </c>
      <c r="E539" s="7" t="s">
        <v>419</v>
      </c>
      <c r="F539" s="7" t="s">
        <v>414</v>
      </c>
      <c r="G539" s="7" t="s">
        <v>36</v>
      </c>
      <c r="J539" s="7" t="n">
        <v>0</v>
      </c>
      <c r="K539" s="7" t="n">
        <v>1.5</v>
      </c>
      <c r="L539" s="7" t="n">
        <v>0.6</v>
      </c>
      <c r="M539" s="7" t="n">
        <v>0.7</v>
      </c>
      <c r="N539" s="7" t="s">
        <v>415</v>
      </c>
      <c r="O539" s="8" t="s">
        <v>416</v>
      </c>
      <c r="P539" s="8" t="s">
        <v>417</v>
      </c>
      <c r="Q539" s="8" t="s">
        <v>418</v>
      </c>
      <c r="T539" s="7" t="str">
        <f aca="false">_xlfn.TEXTJOIN( , ,B539,C539)</f>
        <v>machine_room_v4Spot Cam - PTZ - 11 spot-cam-ptz.jpg</v>
      </c>
    </row>
    <row r="540" s="7" customFormat="true" ht="15.75" hidden="true" customHeight="true" outlineLevel="0" collapsed="false">
      <c r="A540" s="7" t="s">
        <v>20</v>
      </c>
      <c r="B540" s="7" t="s">
        <v>405</v>
      </c>
      <c r="C540" s="7" t="s">
        <v>40</v>
      </c>
      <c r="D540" s="7" t="s">
        <v>412</v>
      </c>
      <c r="E540" s="7" t="s">
        <v>420</v>
      </c>
      <c r="F540" s="7" t="s">
        <v>414</v>
      </c>
      <c r="G540" s="7" t="s">
        <v>36</v>
      </c>
      <c r="J540" s="7" t="n">
        <v>0</v>
      </c>
      <c r="K540" s="7" t="n">
        <v>1.5</v>
      </c>
      <c r="L540" s="7" t="n">
        <v>0.6</v>
      </c>
      <c r="M540" s="7" t="n">
        <v>0.7</v>
      </c>
      <c r="N540" s="7" t="s">
        <v>415</v>
      </c>
      <c r="O540" s="8" t="s">
        <v>416</v>
      </c>
      <c r="P540" s="8" t="s">
        <v>417</v>
      </c>
      <c r="Q540" s="8" t="s">
        <v>418</v>
      </c>
      <c r="T540" s="7" t="str">
        <f aca="false">_xlfn.TEXTJOIN( , ,B540,C540)</f>
        <v>machine_room_v4Spot Cam - PTZ - 11 spot-cam-ptz.jpg</v>
      </c>
    </row>
    <row r="541" s="7" customFormat="true" ht="15.75" hidden="true" customHeight="true" outlineLevel="0" collapsed="false">
      <c r="A541" s="7" t="s">
        <v>20</v>
      </c>
      <c r="B541" s="7" t="s">
        <v>405</v>
      </c>
      <c r="C541" s="7" t="s">
        <v>40</v>
      </c>
      <c r="D541" s="7" t="s">
        <v>412</v>
      </c>
      <c r="E541" s="7" t="s">
        <v>413</v>
      </c>
      <c r="F541" s="7" t="s">
        <v>421</v>
      </c>
      <c r="G541" s="7" t="s">
        <v>36</v>
      </c>
      <c r="J541" s="7" t="n">
        <v>0</v>
      </c>
      <c r="K541" s="7" t="n">
        <v>100</v>
      </c>
      <c r="L541" s="7" t="n">
        <v>15</v>
      </c>
      <c r="M541" s="7" t="n">
        <v>25</v>
      </c>
      <c r="N541" s="7" t="s">
        <v>422</v>
      </c>
      <c r="O541" s="8" t="s">
        <v>416</v>
      </c>
      <c r="P541" s="8" t="s">
        <v>423</v>
      </c>
      <c r="Q541" s="8" t="s">
        <v>418</v>
      </c>
      <c r="T541" s="7" t="str">
        <f aca="false">_xlfn.TEXTJOIN( , ,B541,C541)</f>
        <v>machine_room_v4Spot Cam - PTZ - 11 spot-cam-ptz.jpg</v>
      </c>
    </row>
    <row r="542" s="7" customFormat="true" ht="15.75" hidden="true" customHeight="true" outlineLevel="0" collapsed="false">
      <c r="A542" s="7" t="s">
        <v>20</v>
      </c>
      <c r="B542" s="7" t="s">
        <v>405</v>
      </c>
      <c r="C542" s="7" t="s">
        <v>40</v>
      </c>
      <c r="D542" s="7" t="s">
        <v>412</v>
      </c>
      <c r="E542" s="7" t="s">
        <v>419</v>
      </c>
      <c r="F542" s="7" t="s">
        <v>421</v>
      </c>
      <c r="G542" s="7" t="s">
        <v>36</v>
      </c>
      <c r="J542" s="7" t="n">
        <v>0</v>
      </c>
      <c r="K542" s="7" t="n">
        <v>100</v>
      </c>
      <c r="L542" s="7" t="n">
        <v>15</v>
      </c>
      <c r="M542" s="7" t="n">
        <v>25</v>
      </c>
      <c r="N542" s="7" t="s">
        <v>422</v>
      </c>
      <c r="O542" s="8" t="s">
        <v>416</v>
      </c>
      <c r="P542" s="8" t="s">
        <v>423</v>
      </c>
      <c r="Q542" s="8" t="s">
        <v>418</v>
      </c>
      <c r="T542" s="7" t="str">
        <f aca="false">_xlfn.TEXTJOIN( , ,B542,C542)</f>
        <v>machine_room_v4Spot Cam - PTZ - 11 spot-cam-ptz.jpg</v>
      </c>
    </row>
    <row r="543" s="7" customFormat="true" ht="15.75" hidden="true" customHeight="true" outlineLevel="0" collapsed="false">
      <c r="A543" s="7" t="s">
        <v>20</v>
      </c>
      <c r="B543" s="7" t="s">
        <v>405</v>
      </c>
      <c r="C543" s="7" t="s">
        <v>40</v>
      </c>
      <c r="D543" s="7" t="s">
        <v>412</v>
      </c>
      <c r="E543" s="7" t="s">
        <v>420</v>
      </c>
      <c r="F543" s="7" t="s">
        <v>421</v>
      </c>
      <c r="G543" s="7" t="s">
        <v>36</v>
      </c>
      <c r="J543" s="7" t="n">
        <v>0</v>
      </c>
      <c r="K543" s="7" t="n">
        <v>100</v>
      </c>
      <c r="L543" s="7" t="n">
        <v>15</v>
      </c>
      <c r="M543" s="7" t="n">
        <v>25</v>
      </c>
      <c r="N543" s="7" t="s">
        <v>422</v>
      </c>
      <c r="O543" s="8" t="s">
        <v>416</v>
      </c>
      <c r="P543" s="8" t="s">
        <v>423</v>
      </c>
      <c r="Q543" s="8" t="s">
        <v>418</v>
      </c>
      <c r="T543" s="7" t="str">
        <f aca="false">_xlfn.TEXTJOIN( , ,B543,C543)</f>
        <v>machine_room_v4Spot Cam - PTZ - 11 spot-cam-ptz.jpg</v>
      </c>
    </row>
    <row r="544" s="7" customFormat="true" ht="15.75" hidden="true" customHeight="true" outlineLevel="0" collapsed="false">
      <c r="A544" s="7" t="s">
        <v>20</v>
      </c>
      <c r="B544" s="7" t="s">
        <v>405</v>
      </c>
      <c r="C544" s="7" t="s">
        <v>40</v>
      </c>
      <c r="D544" s="7" t="s">
        <v>412</v>
      </c>
      <c r="E544" s="7" t="s">
        <v>424</v>
      </c>
      <c r="F544" s="10" t="s">
        <v>349</v>
      </c>
      <c r="G544" s="7" t="s">
        <v>350</v>
      </c>
      <c r="O544" s="8" t="s">
        <v>416</v>
      </c>
      <c r="P544" s="8" t="s">
        <v>425</v>
      </c>
      <c r="T544" s="7" t="str">
        <f aca="false">_xlfn.TEXTJOIN( , ,B544,C544)</f>
        <v>machine_room_v4Spot Cam - PTZ - 11 spot-cam-ptz.jpg</v>
      </c>
    </row>
    <row r="545" s="7" customFormat="true" ht="15.75" hidden="true" customHeight="true" outlineLevel="0" collapsed="false">
      <c r="A545" s="7" t="s">
        <v>20</v>
      </c>
      <c r="B545" s="7" t="s">
        <v>405</v>
      </c>
      <c r="C545" s="7" t="s">
        <v>40</v>
      </c>
      <c r="D545" s="7" t="s">
        <v>412</v>
      </c>
      <c r="E545" s="7" t="s">
        <v>413</v>
      </c>
      <c r="F545" s="7" t="s">
        <v>426</v>
      </c>
      <c r="G545" s="7" t="s">
        <v>102</v>
      </c>
      <c r="T545" s="7" t="str">
        <f aca="false">_xlfn.TEXTJOIN( , ,B545,C545)</f>
        <v>machine_room_v4Spot Cam - PTZ - 11 spot-cam-ptz.jpg</v>
      </c>
    </row>
    <row r="546" s="7" customFormat="true" ht="15.75" hidden="true" customHeight="true" outlineLevel="0" collapsed="false">
      <c r="A546" s="7" t="s">
        <v>20</v>
      </c>
      <c r="B546" s="7" t="s">
        <v>405</v>
      </c>
      <c r="C546" s="7" t="s">
        <v>40</v>
      </c>
      <c r="D546" s="7" t="s">
        <v>412</v>
      </c>
      <c r="E546" s="7" t="s">
        <v>419</v>
      </c>
      <c r="F546" s="7" t="s">
        <v>426</v>
      </c>
      <c r="G546" s="7" t="s">
        <v>102</v>
      </c>
      <c r="T546" s="7" t="str">
        <f aca="false">_xlfn.TEXTJOIN( , ,B546,C546)</f>
        <v>machine_room_v4Spot Cam - PTZ - 11 spot-cam-ptz.jpg</v>
      </c>
    </row>
    <row r="547" s="7" customFormat="true" ht="15.75" hidden="true" customHeight="true" outlineLevel="0" collapsed="false">
      <c r="A547" s="7" t="s">
        <v>20</v>
      </c>
      <c r="B547" s="7" t="s">
        <v>405</v>
      </c>
      <c r="C547" s="7" t="s">
        <v>40</v>
      </c>
      <c r="D547" s="7" t="s">
        <v>412</v>
      </c>
      <c r="E547" s="7" t="s">
        <v>420</v>
      </c>
      <c r="F547" s="7" t="s">
        <v>426</v>
      </c>
      <c r="G547" s="7" t="s">
        <v>102</v>
      </c>
      <c r="T547" s="7" t="str">
        <f aca="false">_xlfn.TEXTJOIN( , ,B547,C547)</f>
        <v>machine_room_v4Spot Cam - PTZ - 11 spot-cam-ptz.jpg</v>
      </c>
    </row>
    <row r="548" s="7" customFormat="true" ht="15.75" hidden="true" customHeight="true" outlineLevel="0" collapsed="false">
      <c r="A548" s="7" t="s">
        <v>20</v>
      </c>
      <c r="B548" s="7" t="s">
        <v>405</v>
      </c>
      <c r="C548" s="7" t="s">
        <v>50</v>
      </c>
      <c r="D548" s="7" t="s">
        <v>427</v>
      </c>
      <c r="E548" s="10" t="s">
        <v>428</v>
      </c>
      <c r="F548" s="7" t="s">
        <v>429</v>
      </c>
      <c r="G548" s="7" t="s">
        <v>36</v>
      </c>
      <c r="J548" s="7" t="n">
        <v>0</v>
      </c>
      <c r="K548" s="7" t="n">
        <v>1.5</v>
      </c>
      <c r="L548" s="7" t="n">
        <v>0</v>
      </c>
      <c r="M548" s="7" t="n">
        <v>1.5</v>
      </c>
      <c r="N548" s="7" t="s">
        <v>354</v>
      </c>
      <c r="T548" s="7" t="str">
        <f aca="false">_xlfn.TEXTJOIN( , ,B548,C548)</f>
        <v>machine_room_v4Spot Cam - PTZ - 13 spot-cam-ptz.jpg</v>
      </c>
    </row>
    <row r="549" s="7" customFormat="true" ht="15.75" hidden="true" customHeight="true" outlineLevel="0" collapsed="false">
      <c r="A549" s="7" t="s">
        <v>20</v>
      </c>
      <c r="B549" s="7" t="s">
        <v>405</v>
      </c>
      <c r="C549" s="7" t="s">
        <v>50</v>
      </c>
      <c r="D549" s="7" t="s">
        <v>427</v>
      </c>
      <c r="E549" s="10" t="s">
        <v>430</v>
      </c>
      <c r="F549" s="7" t="s">
        <v>429</v>
      </c>
      <c r="G549" s="7" t="s">
        <v>36</v>
      </c>
      <c r="J549" s="7" t="n">
        <v>0</v>
      </c>
      <c r="K549" s="7" t="n">
        <v>1.5</v>
      </c>
      <c r="L549" s="7" t="n">
        <v>0</v>
      </c>
      <c r="M549" s="7" t="n">
        <v>1.5</v>
      </c>
      <c r="N549" s="7" t="s">
        <v>354</v>
      </c>
      <c r="T549" s="7" t="str">
        <f aca="false">_xlfn.TEXTJOIN( , ,B549,C549)</f>
        <v>machine_room_v4Spot Cam - PTZ - 13 spot-cam-ptz.jpg</v>
      </c>
    </row>
    <row r="550" s="7" customFormat="true" ht="15.75" hidden="true" customHeight="true" outlineLevel="0" collapsed="false">
      <c r="A550" s="7" t="s">
        <v>20</v>
      </c>
      <c r="B550" s="7" t="s">
        <v>405</v>
      </c>
      <c r="C550" s="7" t="s">
        <v>50</v>
      </c>
      <c r="D550" s="7" t="s">
        <v>427</v>
      </c>
      <c r="E550" s="10" t="s">
        <v>431</v>
      </c>
      <c r="F550" s="7" t="s">
        <v>429</v>
      </c>
      <c r="G550" s="7" t="s">
        <v>36</v>
      </c>
      <c r="J550" s="7" t="n">
        <v>0</v>
      </c>
      <c r="K550" s="7" t="n">
        <v>1.5</v>
      </c>
      <c r="L550" s="7" t="n">
        <v>0</v>
      </c>
      <c r="M550" s="7" t="n">
        <v>1.5</v>
      </c>
      <c r="N550" s="7" t="s">
        <v>354</v>
      </c>
      <c r="T550" s="7" t="str">
        <f aca="false">_xlfn.TEXTJOIN( , ,B550,C550)</f>
        <v>machine_room_v4Spot Cam - PTZ - 13 spot-cam-ptz.jpg</v>
      </c>
    </row>
    <row r="551" s="7" customFormat="true" ht="15.75" hidden="true" customHeight="true" outlineLevel="0" collapsed="false">
      <c r="A551" s="7" t="s">
        <v>20</v>
      </c>
      <c r="B551" s="7" t="s">
        <v>405</v>
      </c>
      <c r="C551" s="7" t="s">
        <v>50</v>
      </c>
      <c r="D551" s="7" t="s">
        <v>427</v>
      </c>
      <c r="E551" s="7" t="s">
        <v>424</v>
      </c>
      <c r="F551" s="10" t="s">
        <v>349</v>
      </c>
      <c r="G551" s="7" t="s">
        <v>350</v>
      </c>
      <c r="T551" s="7" t="str">
        <f aca="false">_xlfn.TEXTJOIN( , ,B551,C551)</f>
        <v>machine_room_v4Spot Cam - PTZ - 13 spot-cam-ptz.jpg</v>
      </c>
    </row>
    <row r="552" s="7" customFormat="true" ht="15.75" hidden="true" customHeight="true" outlineLevel="0" collapsed="false">
      <c r="A552" s="7" t="s">
        <v>20</v>
      </c>
      <c r="B552" s="7" t="s">
        <v>405</v>
      </c>
      <c r="C552" s="7" t="s">
        <v>52</v>
      </c>
      <c r="D552" s="7" t="s">
        <v>432</v>
      </c>
      <c r="E552" s="7" t="s">
        <v>420</v>
      </c>
      <c r="F552" s="7" t="s">
        <v>414</v>
      </c>
      <c r="G552" s="7" t="s">
        <v>36</v>
      </c>
      <c r="J552" s="7" t="n">
        <v>0</v>
      </c>
      <c r="K552" s="7" t="n">
        <v>1.5</v>
      </c>
      <c r="L552" s="7" t="n">
        <v>0.6</v>
      </c>
      <c r="M552" s="7" t="n">
        <v>0.7</v>
      </c>
      <c r="N552" s="7" t="s">
        <v>415</v>
      </c>
      <c r="O552" s="8" t="s">
        <v>416</v>
      </c>
      <c r="P552" s="8" t="s">
        <v>433</v>
      </c>
      <c r="T552" s="7" t="str">
        <f aca="false">_xlfn.TEXTJOIN( , ,B552,C552)</f>
        <v>machine_room_v4Spot Cam - PTZ - 15 spot-cam-ptz.jpg</v>
      </c>
    </row>
    <row r="553" s="7" customFormat="true" ht="15.75" hidden="true" customHeight="true" outlineLevel="0" collapsed="false">
      <c r="A553" s="7" t="s">
        <v>20</v>
      </c>
      <c r="B553" s="7" t="s">
        <v>405</v>
      </c>
      <c r="C553" s="7" t="s">
        <v>52</v>
      </c>
      <c r="D553" s="7" t="s">
        <v>432</v>
      </c>
      <c r="E553" s="7" t="s">
        <v>419</v>
      </c>
      <c r="F553" s="7" t="s">
        <v>414</v>
      </c>
      <c r="G553" s="7" t="s">
        <v>36</v>
      </c>
      <c r="J553" s="7" t="n">
        <v>0</v>
      </c>
      <c r="K553" s="7" t="n">
        <v>1.5</v>
      </c>
      <c r="L553" s="7" t="n">
        <v>0.6</v>
      </c>
      <c r="M553" s="7" t="n">
        <v>0.7</v>
      </c>
      <c r="N553" s="7" t="s">
        <v>415</v>
      </c>
      <c r="O553" s="8" t="s">
        <v>416</v>
      </c>
      <c r="P553" s="8" t="s">
        <v>433</v>
      </c>
      <c r="T553" s="7" t="str">
        <f aca="false">_xlfn.TEXTJOIN( , ,B553,C553)</f>
        <v>machine_room_v4Spot Cam - PTZ - 15 spot-cam-ptz.jpg</v>
      </c>
    </row>
    <row r="554" s="7" customFormat="true" ht="15.75" hidden="true" customHeight="true" outlineLevel="0" collapsed="false">
      <c r="A554" s="7" t="s">
        <v>20</v>
      </c>
      <c r="B554" s="7" t="s">
        <v>405</v>
      </c>
      <c r="C554" s="7" t="s">
        <v>52</v>
      </c>
      <c r="D554" s="7" t="s">
        <v>434</v>
      </c>
      <c r="E554" s="7" t="s">
        <v>435</v>
      </c>
      <c r="F554" s="7" t="s">
        <v>414</v>
      </c>
      <c r="G554" s="7" t="s">
        <v>36</v>
      </c>
      <c r="J554" s="7" t="n">
        <v>0</v>
      </c>
      <c r="K554" s="7" t="n">
        <v>1.5</v>
      </c>
      <c r="L554" s="7" t="n">
        <v>0.6</v>
      </c>
      <c r="M554" s="7" t="n">
        <v>1.5</v>
      </c>
      <c r="N554" s="7" t="s">
        <v>436</v>
      </c>
      <c r="O554" s="8" t="s">
        <v>416</v>
      </c>
      <c r="P554" s="8" t="s">
        <v>437</v>
      </c>
      <c r="T554" s="7" t="str">
        <f aca="false">_xlfn.TEXTJOIN( , ,B554,C554)</f>
        <v>machine_room_v4Spot Cam - PTZ - 15 spot-cam-ptz.jpg</v>
      </c>
    </row>
    <row r="555" s="7" customFormat="true" ht="15.75" hidden="true" customHeight="true" outlineLevel="0" collapsed="false">
      <c r="A555" s="7" t="s">
        <v>20</v>
      </c>
      <c r="B555" s="7" t="s">
        <v>405</v>
      </c>
      <c r="C555" s="7" t="s">
        <v>52</v>
      </c>
      <c r="D555" s="7" t="s">
        <v>434</v>
      </c>
      <c r="E555" s="7" t="s">
        <v>438</v>
      </c>
      <c r="F555" s="7" t="s">
        <v>414</v>
      </c>
      <c r="G555" s="7" t="s">
        <v>36</v>
      </c>
      <c r="J555" s="7" t="n">
        <v>0</v>
      </c>
      <c r="K555" s="7" t="n">
        <v>1.5</v>
      </c>
      <c r="L555" s="7" t="n">
        <v>0.6</v>
      </c>
      <c r="M555" s="7" t="n">
        <v>1.5</v>
      </c>
      <c r="N555" s="7" t="s">
        <v>436</v>
      </c>
      <c r="O555" s="8" t="s">
        <v>416</v>
      </c>
      <c r="P555" s="8" t="s">
        <v>417</v>
      </c>
      <c r="T555" s="7" t="str">
        <f aca="false">_xlfn.TEXTJOIN( , ,B555,C555)</f>
        <v>machine_room_v4Spot Cam - PTZ - 15 spot-cam-ptz.jpg</v>
      </c>
    </row>
    <row r="556" s="7" customFormat="true" ht="15.75" hidden="true" customHeight="true" outlineLevel="0" collapsed="false">
      <c r="A556" s="7" t="s">
        <v>20</v>
      </c>
      <c r="B556" s="7" t="s">
        <v>405</v>
      </c>
      <c r="C556" s="7" t="s">
        <v>52</v>
      </c>
      <c r="D556" s="7" t="s">
        <v>434</v>
      </c>
      <c r="E556" s="7" t="s">
        <v>435</v>
      </c>
      <c r="F556" s="7" t="s">
        <v>421</v>
      </c>
      <c r="G556" s="7" t="s">
        <v>36</v>
      </c>
      <c r="J556" s="7" t="n">
        <v>0</v>
      </c>
      <c r="K556" s="7" t="n">
        <v>100</v>
      </c>
      <c r="L556" s="7" t="n">
        <v>15</v>
      </c>
      <c r="M556" s="7" t="n">
        <v>25</v>
      </c>
      <c r="N556" s="7" t="s">
        <v>422</v>
      </c>
      <c r="O556" s="8" t="s">
        <v>416</v>
      </c>
      <c r="P556" s="8" t="s">
        <v>439</v>
      </c>
      <c r="T556" s="7" t="str">
        <f aca="false">_xlfn.TEXTJOIN( , ,B556,C556)</f>
        <v>machine_room_v4Spot Cam - PTZ - 15 spot-cam-ptz.jpg</v>
      </c>
    </row>
    <row r="557" s="7" customFormat="true" ht="15.75" hidden="true" customHeight="true" outlineLevel="0" collapsed="false">
      <c r="A557" s="7" t="s">
        <v>20</v>
      </c>
      <c r="B557" s="7" t="s">
        <v>405</v>
      </c>
      <c r="C557" s="7" t="s">
        <v>52</v>
      </c>
      <c r="D557" s="7" t="s">
        <v>434</v>
      </c>
      <c r="E557" s="7" t="s">
        <v>438</v>
      </c>
      <c r="F557" s="7" t="s">
        <v>421</v>
      </c>
      <c r="G557" s="7" t="s">
        <v>36</v>
      </c>
      <c r="J557" s="7" t="n">
        <v>0</v>
      </c>
      <c r="K557" s="7" t="n">
        <v>100</v>
      </c>
      <c r="L557" s="7" t="n">
        <v>15</v>
      </c>
      <c r="M557" s="7" t="n">
        <v>25</v>
      </c>
      <c r="N557" s="7" t="s">
        <v>422</v>
      </c>
      <c r="O557" s="8" t="s">
        <v>416</v>
      </c>
      <c r="P557" s="8" t="s">
        <v>440</v>
      </c>
      <c r="T557" s="7" t="str">
        <f aca="false">_xlfn.TEXTJOIN( , ,B557,C557)</f>
        <v>machine_room_v4Spot Cam - PTZ - 15 spot-cam-ptz.jpg</v>
      </c>
    </row>
    <row r="558" s="7" customFormat="true" ht="15.75" hidden="true" customHeight="true" outlineLevel="0" collapsed="false">
      <c r="A558" s="7" t="s">
        <v>20</v>
      </c>
      <c r="B558" s="7" t="s">
        <v>405</v>
      </c>
      <c r="C558" s="7" t="s">
        <v>52</v>
      </c>
      <c r="D558" s="7" t="s">
        <v>432</v>
      </c>
      <c r="E558" s="10" t="s">
        <v>424</v>
      </c>
      <c r="F558" s="10" t="s">
        <v>349</v>
      </c>
      <c r="G558" s="7" t="s">
        <v>350</v>
      </c>
      <c r="O558" s="8" t="s">
        <v>416</v>
      </c>
      <c r="P558" s="8" t="s">
        <v>425</v>
      </c>
      <c r="T558" s="7" t="str">
        <f aca="false">_xlfn.TEXTJOIN( , ,B558,C558)</f>
        <v>machine_room_v4Spot Cam - PTZ - 15 spot-cam-ptz.jpg</v>
      </c>
    </row>
    <row r="559" s="7" customFormat="true" ht="15.75" hidden="true" customHeight="true" outlineLevel="0" collapsed="false">
      <c r="A559" s="7" t="s">
        <v>20</v>
      </c>
      <c r="B559" s="7" t="s">
        <v>405</v>
      </c>
      <c r="C559" s="7" t="s">
        <v>52</v>
      </c>
      <c r="D559" s="7" t="s">
        <v>432</v>
      </c>
      <c r="E559" s="7" t="s">
        <v>420</v>
      </c>
      <c r="F559" s="7" t="s">
        <v>426</v>
      </c>
      <c r="G559" s="7" t="s">
        <v>102</v>
      </c>
      <c r="T559" s="7" t="str">
        <f aca="false">_xlfn.TEXTJOIN( , ,B559,C559)</f>
        <v>machine_room_v4Spot Cam - PTZ - 15 spot-cam-ptz.jpg</v>
      </c>
    </row>
    <row r="560" s="7" customFormat="true" ht="15.75" hidden="true" customHeight="true" outlineLevel="0" collapsed="false">
      <c r="A560" s="7" t="s">
        <v>20</v>
      </c>
      <c r="B560" s="7" t="s">
        <v>405</v>
      </c>
      <c r="C560" s="7" t="s">
        <v>52</v>
      </c>
      <c r="D560" s="7" t="s">
        <v>432</v>
      </c>
      <c r="E560" s="7" t="s">
        <v>419</v>
      </c>
      <c r="F560" s="7" t="s">
        <v>426</v>
      </c>
      <c r="G560" s="7" t="s">
        <v>102</v>
      </c>
      <c r="T560" s="7" t="str">
        <f aca="false">_xlfn.TEXTJOIN( , ,B560,C560)</f>
        <v>machine_room_v4Spot Cam - PTZ - 15 spot-cam-ptz.jpg</v>
      </c>
    </row>
    <row r="561" s="7" customFormat="true" ht="15.75" hidden="true" customHeight="true" outlineLevel="0" collapsed="false">
      <c r="A561" s="7" t="s">
        <v>20</v>
      </c>
      <c r="B561" s="7" t="s">
        <v>405</v>
      </c>
      <c r="C561" s="7" t="s">
        <v>52</v>
      </c>
      <c r="D561" s="7" t="s">
        <v>434</v>
      </c>
      <c r="E561" s="7" t="s">
        <v>435</v>
      </c>
      <c r="F561" s="7" t="s">
        <v>426</v>
      </c>
      <c r="G561" s="7" t="s">
        <v>102</v>
      </c>
      <c r="T561" s="7" t="str">
        <f aca="false">_xlfn.TEXTJOIN( , ,B561,C561)</f>
        <v>machine_room_v4Spot Cam - PTZ - 15 spot-cam-ptz.jpg</v>
      </c>
    </row>
    <row r="562" s="7" customFormat="true" ht="15.75" hidden="true" customHeight="true" outlineLevel="0" collapsed="false">
      <c r="A562" s="7" t="s">
        <v>20</v>
      </c>
      <c r="B562" s="7" t="s">
        <v>405</v>
      </c>
      <c r="C562" s="7" t="s">
        <v>52</v>
      </c>
      <c r="D562" s="7" t="s">
        <v>434</v>
      </c>
      <c r="E562" s="7" t="s">
        <v>441</v>
      </c>
      <c r="F562" s="7" t="s">
        <v>426</v>
      </c>
      <c r="G562" s="7" t="s">
        <v>102</v>
      </c>
      <c r="T562" s="7" t="str">
        <f aca="false">_xlfn.TEXTJOIN( , ,B562,C562)</f>
        <v>machine_room_v4Spot Cam - PTZ - 15 spot-cam-ptz.jpg</v>
      </c>
    </row>
    <row r="563" s="7" customFormat="true" ht="15.75" hidden="true" customHeight="true" outlineLevel="0" collapsed="false">
      <c r="A563" s="7" t="s">
        <v>20</v>
      </c>
      <c r="B563" s="7" t="s">
        <v>405</v>
      </c>
      <c r="C563" s="7" t="s">
        <v>55</v>
      </c>
      <c r="D563" s="7" t="s">
        <v>432</v>
      </c>
      <c r="E563" s="7" t="s">
        <v>413</v>
      </c>
      <c r="F563" s="7" t="s">
        <v>414</v>
      </c>
      <c r="G563" s="7" t="s">
        <v>36</v>
      </c>
      <c r="J563" s="7" t="n">
        <v>0</v>
      </c>
      <c r="K563" s="7" t="n">
        <v>1.5</v>
      </c>
      <c r="L563" s="7" t="n">
        <v>0.6</v>
      </c>
      <c r="M563" s="7" t="n">
        <v>0.7</v>
      </c>
      <c r="N563" s="7" t="s">
        <v>415</v>
      </c>
      <c r="O563" s="8" t="s">
        <v>416</v>
      </c>
      <c r="P563" s="8" t="s">
        <v>433</v>
      </c>
      <c r="T563" s="7" t="str">
        <f aca="false">_xlfn.TEXTJOIN( , ,B563,C563)</f>
        <v>machine_room_v4Spot Cam - PTZ - 16 spot-cam-ptz.jpg</v>
      </c>
    </row>
    <row r="564" s="7" customFormat="true" ht="15.75" hidden="true" customHeight="true" outlineLevel="0" collapsed="false">
      <c r="A564" s="7" t="s">
        <v>20</v>
      </c>
      <c r="B564" s="7" t="s">
        <v>405</v>
      </c>
      <c r="C564" s="7" t="s">
        <v>55</v>
      </c>
      <c r="D564" s="7" t="s">
        <v>432</v>
      </c>
      <c r="E564" s="7" t="s">
        <v>442</v>
      </c>
      <c r="F564" s="7" t="s">
        <v>414</v>
      </c>
      <c r="G564" s="7" t="s">
        <v>36</v>
      </c>
      <c r="J564" s="7" t="n">
        <v>0</v>
      </c>
      <c r="K564" s="7" t="n">
        <v>1.5</v>
      </c>
      <c r="L564" s="7" t="n">
        <v>0.6</v>
      </c>
      <c r="M564" s="7" t="n">
        <v>0.7</v>
      </c>
      <c r="N564" s="7" t="s">
        <v>415</v>
      </c>
      <c r="O564" s="8" t="s">
        <v>416</v>
      </c>
      <c r="P564" s="8" t="s">
        <v>433</v>
      </c>
      <c r="T564" s="7" t="str">
        <f aca="false">_xlfn.TEXTJOIN( , ,B564,C564)</f>
        <v>machine_room_v4Spot Cam - PTZ - 16 spot-cam-ptz.jpg</v>
      </c>
    </row>
    <row r="565" s="7" customFormat="true" ht="15.75" hidden="true" customHeight="true" outlineLevel="0" collapsed="false">
      <c r="A565" s="7" t="s">
        <v>20</v>
      </c>
      <c r="B565" s="7" t="s">
        <v>405</v>
      </c>
      <c r="C565" s="7" t="s">
        <v>55</v>
      </c>
      <c r="D565" s="7" t="s">
        <v>434</v>
      </c>
      <c r="E565" s="7" t="s">
        <v>441</v>
      </c>
      <c r="F565" s="7" t="s">
        <v>414</v>
      </c>
      <c r="G565" s="7" t="s">
        <v>36</v>
      </c>
      <c r="J565" s="7" t="n">
        <v>0</v>
      </c>
      <c r="K565" s="7" t="n">
        <v>1.5</v>
      </c>
      <c r="L565" s="7" t="n">
        <v>0.6</v>
      </c>
      <c r="M565" s="7" t="n">
        <v>1.5</v>
      </c>
      <c r="N565" s="7" t="s">
        <v>436</v>
      </c>
      <c r="O565" s="8" t="s">
        <v>416</v>
      </c>
      <c r="P565" s="8" t="s">
        <v>417</v>
      </c>
      <c r="T565" s="7" t="str">
        <f aca="false">_xlfn.TEXTJOIN( , ,B565,C565)</f>
        <v>machine_room_v4Spot Cam - PTZ - 16 spot-cam-ptz.jpg</v>
      </c>
    </row>
    <row r="566" s="7" customFormat="true" ht="15.75" hidden="true" customHeight="true" outlineLevel="0" collapsed="false">
      <c r="A566" s="7" t="s">
        <v>20</v>
      </c>
      <c r="B566" s="7" t="s">
        <v>405</v>
      </c>
      <c r="C566" s="7" t="s">
        <v>55</v>
      </c>
      <c r="D566" s="7" t="s">
        <v>434</v>
      </c>
      <c r="E566" s="7" t="s">
        <v>438</v>
      </c>
      <c r="F566" s="7" t="s">
        <v>421</v>
      </c>
      <c r="G566" s="7" t="s">
        <v>36</v>
      </c>
      <c r="J566" s="7" t="n">
        <v>0</v>
      </c>
      <c r="K566" s="7" t="n">
        <v>100</v>
      </c>
      <c r="L566" s="7" t="n">
        <v>15</v>
      </c>
      <c r="M566" s="7" t="n">
        <v>25</v>
      </c>
      <c r="N566" s="7" t="s">
        <v>422</v>
      </c>
      <c r="O566" s="8" t="s">
        <v>416</v>
      </c>
      <c r="P566" s="8" t="s">
        <v>440</v>
      </c>
      <c r="T566" s="7" t="str">
        <f aca="false">_xlfn.TEXTJOIN( , ,B566,C566)</f>
        <v>machine_room_v4Spot Cam - PTZ - 16 spot-cam-ptz.jpg</v>
      </c>
    </row>
    <row r="567" s="7" customFormat="true" ht="15.75" hidden="true" customHeight="true" outlineLevel="0" collapsed="false">
      <c r="A567" s="7" t="s">
        <v>20</v>
      </c>
      <c r="B567" s="7" t="s">
        <v>405</v>
      </c>
      <c r="C567" s="7" t="s">
        <v>55</v>
      </c>
      <c r="D567" s="7" t="s">
        <v>432</v>
      </c>
      <c r="E567" s="7" t="s">
        <v>443</v>
      </c>
      <c r="F567" s="10" t="s">
        <v>349</v>
      </c>
      <c r="G567" s="7" t="s">
        <v>350</v>
      </c>
      <c r="O567" s="8" t="s">
        <v>416</v>
      </c>
      <c r="P567" s="8" t="s">
        <v>425</v>
      </c>
      <c r="T567" s="7" t="str">
        <f aca="false">_xlfn.TEXTJOIN( , ,B567,C567)</f>
        <v>machine_room_v4Spot Cam - PTZ - 16 spot-cam-ptz.jpg</v>
      </c>
    </row>
    <row r="568" s="7" customFormat="true" ht="15.75" hidden="true" customHeight="true" outlineLevel="0" collapsed="false">
      <c r="A568" s="7" t="s">
        <v>20</v>
      </c>
      <c r="B568" s="7" t="s">
        <v>405</v>
      </c>
      <c r="C568" s="7" t="s">
        <v>55</v>
      </c>
      <c r="D568" s="7" t="s">
        <v>432</v>
      </c>
      <c r="E568" s="7" t="s">
        <v>413</v>
      </c>
      <c r="F568" s="7" t="s">
        <v>426</v>
      </c>
      <c r="G568" s="7" t="s">
        <v>102</v>
      </c>
      <c r="T568" s="7" t="str">
        <f aca="false">_xlfn.TEXTJOIN( , ,B568,C568)</f>
        <v>machine_room_v4Spot Cam - PTZ - 16 spot-cam-ptz.jpg</v>
      </c>
    </row>
    <row r="569" s="7" customFormat="true" ht="15.75" hidden="true" customHeight="true" outlineLevel="0" collapsed="false">
      <c r="A569" s="7" t="s">
        <v>20</v>
      </c>
      <c r="B569" s="7" t="s">
        <v>405</v>
      </c>
      <c r="C569" s="7" t="s">
        <v>55</v>
      </c>
      <c r="D569" s="7" t="s">
        <v>432</v>
      </c>
      <c r="E569" s="7" t="s">
        <v>442</v>
      </c>
      <c r="F569" s="7" t="s">
        <v>426</v>
      </c>
      <c r="G569" s="7" t="s">
        <v>102</v>
      </c>
      <c r="T569" s="7" t="str">
        <f aca="false">_xlfn.TEXTJOIN( , ,B569,C569)</f>
        <v>machine_room_v4Spot Cam - PTZ - 16 spot-cam-ptz.jpg</v>
      </c>
    </row>
    <row r="570" s="7" customFormat="true" ht="15.75" hidden="true" customHeight="true" outlineLevel="0" collapsed="false">
      <c r="A570" s="7" t="s">
        <v>20</v>
      </c>
      <c r="B570" s="7" t="s">
        <v>405</v>
      </c>
      <c r="C570" s="7" t="s">
        <v>55</v>
      </c>
      <c r="D570" s="7" t="s">
        <v>434</v>
      </c>
      <c r="E570" s="7" t="s">
        <v>441</v>
      </c>
      <c r="F570" s="7" t="s">
        <v>426</v>
      </c>
      <c r="G570" s="7" t="s">
        <v>102</v>
      </c>
      <c r="T570" s="7" t="str">
        <f aca="false">_xlfn.TEXTJOIN( , ,B570,C570)</f>
        <v>machine_room_v4Spot Cam - PTZ - 16 spot-cam-ptz.jpg</v>
      </c>
    </row>
    <row r="571" s="7" customFormat="true" ht="15.75" hidden="true" customHeight="true" outlineLevel="0" collapsed="false">
      <c r="A571" s="7" t="s">
        <v>20</v>
      </c>
      <c r="B571" s="7" t="s">
        <v>405</v>
      </c>
      <c r="C571" s="7" t="s">
        <v>55</v>
      </c>
      <c r="D571" s="7" t="s">
        <v>434</v>
      </c>
      <c r="E571" s="7" t="s">
        <v>438</v>
      </c>
      <c r="F571" s="7" t="s">
        <v>426</v>
      </c>
      <c r="G571" s="7" t="s">
        <v>102</v>
      </c>
      <c r="T571" s="7" t="str">
        <f aca="false">_xlfn.TEXTJOIN( , ,B571,C571)</f>
        <v>machine_room_v4Spot Cam - PTZ - 16 spot-cam-ptz.jpg</v>
      </c>
    </row>
    <row r="572" s="7" customFormat="true" ht="15.75" hidden="true" customHeight="true" outlineLevel="0" collapsed="false">
      <c r="A572" s="7" t="s">
        <v>20</v>
      </c>
      <c r="B572" s="7" t="s">
        <v>405</v>
      </c>
      <c r="C572" s="7" t="s">
        <v>56</v>
      </c>
      <c r="D572" s="7" t="s">
        <v>432</v>
      </c>
      <c r="E572" s="7" t="s">
        <v>444</v>
      </c>
      <c r="F572" s="7" t="s">
        <v>414</v>
      </c>
      <c r="G572" s="7" t="s">
        <v>36</v>
      </c>
      <c r="J572" s="7" t="n">
        <v>0</v>
      </c>
      <c r="K572" s="7" t="n">
        <v>1.5</v>
      </c>
      <c r="L572" s="7" t="n">
        <v>0.6</v>
      </c>
      <c r="M572" s="7" t="n">
        <v>0.7</v>
      </c>
      <c r="N572" s="7" t="s">
        <v>415</v>
      </c>
      <c r="O572" s="8" t="s">
        <v>416</v>
      </c>
      <c r="P572" s="8" t="s">
        <v>433</v>
      </c>
      <c r="T572" s="7" t="str">
        <f aca="false">_xlfn.TEXTJOIN( , ,B572,C572)</f>
        <v>machine_room_v4Spot Cam - PTZ - 17 spot-cam-ptz.jpg</v>
      </c>
    </row>
    <row r="573" s="7" customFormat="true" ht="15.75" hidden="true" customHeight="true" outlineLevel="0" collapsed="false">
      <c r="A573" s="7" t="s">
        <v>20</v>
      </c>
      <c r="B573" s="7" t="s">
        <v>405</v>
      </c>
      <c r="C573" s="7" t="s">
        <v>56</v>
      </c>
      <c r="D573" s="7" t="s">
        <v>434</v>
      </c>
      <c r="E573" s="7" t="s">
        <v>438</v>
      </c>
      <c r="F573" s="7" t="s">
        <v>414</v>
      </c>
      <c r="G573" s="7" t="s">
        <v>36</v>
      </c>
      <c r="J573" s="7" t="n">
        <v>0</v>
      </c>
      <c r="K573" s="7" t="n">
        <v>1.5</v>
      </c>
      <c r="L573" s="7" t="n">
        <v>0.6</v>
      </c>
      <c r="M573" s="7" t="n">
        <v>1.5</v>
      </c>
      <c r="N573" s="7" t="s">
        <v>436</v>
      </c>
      <c r="O573" s="8" t="s">
        <v>416</v>
      </c>
      <c r="P573" s="8" t="s">
        <v>417</v>
      </c>
      <c r="T573" s="7" t="str">
        <f aca="false">_xlfn.TEXTJOIN( , ,B573,C573)</f>
        <v>machine_room_v4Spot Cam - PTZ - 17 spot-cam-ptz.jpg</v>
      </c>
    </row>
    <row r="574" s="7" customFormat="true" ht="15.75" hidden="true" customHeight="true" outlineLevel="0" collapsed="false">
      <c r="A574" s="7" t="s">
        <v>20</v>
      </c>
      <c r="B574" s="7" t="s">
        <v>405</v>
      </c>
      <c r="C574" s="7" t="s">
        <v>56</v>
      </c>
      <c r="D574" s="7" t="s">
        <v>434</v>
      </c>
      <c r="E574" s="7" t="s">
        <v>445</v>
      </c>
      <c r="F574" s="7" t="s">
        <v>414</v>
      </c>
      <c r="G574" s="7" t="s">
        <v>36</v>
      </c>
      <c r="J574" s="7" t="n">
        <v>0</v>
      </c>
      <c r="K574" s="7" t="n">
        <v>1.5</v>
      </c>
      <c r="L574" s="7" t="n">
        <v>0.6</v>
      </c>
      <c r="M574" s="7" t="n">
        <v>1.5</v>
      </c>
      <c r="N574" s="7" t="s">
        <v>436</v>
      </c>
      <c r="O574" s="8" t="s">
        <v>416</v>
      </c>
      <c r="P574" s="8" t="s">
        <v>446</v>
      </c>
      <c r="T574" s="7" t="str">
        <f aca="false">_xlfn.TEXTJOIN( , ,B574,C574)</f>
        <v>machine_room_v4Spot Cam - PTZ - 17 spot-cam-ptz.jpg</v>
      </c>
    </row>
    <row r="575" s="7" customFormat="true" ht="15.75" hidden="true" customHeight="true" outlineLevel="0" collapsed="false">
      <c r="A575" s="7" t="s">
        <v>20</v>
      </c>
      <c r="B575" s="7" t="s">
        <v>405</v>
      </c>
      <c r="C575" s="7" t="s">
        <v>56</v>
      </c>
      <c r="D575" s="7" t="s">
        <v>434</v>
      </c>
      <c r="E575" s="7" t="s">
        <v>447</v>
      </c>
      <c r="F575" s="7" t="s">
        <v>421</v>
      </c>
      <c r="G575" s="7" t="s">
        <v>36</v>
      </c>
      <c r="J575" s="7" t="n">
        <v>0</v>
      </c>
      <c r="K575" s="7" t="n">
        <v>100</v>
      </c>
      <c r="L575" s="7" t="n">
        <v>15</v>
      </c>
      <c r="M575" s="7" t="n">
        <v>25</v>
      </c>
      <c r="N575" s="7" t="s">
        <v>422</v>
      </c>
      <c r="O575" s="8" t="s">
        <v>416</v>
      </c>
      <c r="P575" s="8" t="s">
        <v>440</v>
      </c>
      <c r="T575" s="7" t="str">
        <f aca="false">_xlfn.TEXTJOIN( , ,B575,C575)</f>
        <v>machine_room_v4Spot Cam - PTZ - 17 spot-cam-ptz.jpg</v>
      </c>
    </row>
    <row r="576" s="7" customFormat="true" ht="15.75" hidden="true" customHeight="true" outlineLevel="0" collapsed="false">
      <c r="A576" s="7" t="s">
        <v>20</v>
      </c>
      <c r="B576" s="7" t="s">
        <v>405</v>
      </c>
      <c r="C576" s="7" t="s">
        <v>56</v>
      </c>
      <c r="D576" s="7" t="s">
        <v>434</v>
      </c>
      <c r="E576" s="7" t="s">
        <v>445</v>
      </c>
      <c r="F576" s="7" t="s">
        <v>421</v>
      </c>
      <c r="G576" s="7" t="s">
        <v>36</v>
      </c>
      <c r="J576" s="7" t="n">
        <v>0</v>
      </c>
      <c r="K576" s="7" t="n">
        <v>100</v>
      </c>
      <c r="L576" s="7" t="n">
        <v>15</v>
      </c>
      <c r="M576" s="7" t="n">
        <v>25</v>
      </c>
      <c r="N576" s="7" t="s">
        <v>422</v>
      </c>
      <c r="O576" s="8" t="s">
        <v>416</v>
      </c>
      <c r="P576" s="8" t="s">
        <v>448</v>
      </c>
      <c r="T576" s="7" t="str">
        <f aca="false">_xlfn.TEXTJOIN( , ,B576,C576)</f>
        <v>machine_room_v4Spot Cam - PTZ - 17 spot-cam-ptz.jpg</v>
      </c>
    </row>
    <row r="577" s="7" customFormat="true" ht="15.75" hidden="true" customHeight="true" outlineLevel="0" collapsed="false">
      <c r="A577" s="7" t="s">
        <v>20</v>
      </c>
      <c r="B577" s="7" t="s">
        <v>405</v>
      </c>
      <c r="C577" s="7" t="s">
        <v>56</v>
      </c>
      <c r="D577" s="7" t="s">
        <v>432</v>
      </c>
      <c r="E577" s="7" t="s">
        <v>424</v>
      </c>
      <c r="F577" s="10" t="s">
        <v>349</v>
      </c>
      <c r="G577" s="7" t="s">
        <v>350</v>
      </c>
      <c r="O577" s="8" t="s">
        <v>416</v>
      </c>
      <c r="P577" s="8" t="s">
        <v>425</v>
      </c>
      <c r="T577" s="7" t="str">
        <f aca="false">_xlfn.TEXTJOIN( , ,B577,C577)</f>
        <v>machine_room_v4Spot Cam - PTZ - 17 spot-cam-ptz.jpg</v>
      </c>
    </row>
    <row r="578" s="7" customFormat="true" ht="15.75" hidden="true" customHeight="true" outlineLevel="0" collapsed="false">
      <c r="A578" s="7" t="s">
        <v>20</v>
      </c>
      <c r="B578" s="7" t="s">
        <v>405</v>
      </c>
      <c r="C578" s="7" t="s">
        <v>56</v>
      </c>
      <c r="D578" s="7" t="s">
        <v>432</v>
      </c>
      <c r="E578" s="7" t="s">
        <v>444</v>
      </c>
      <c r="F578" s="7" t="s">
        <v>426</v>
      </c>
      <c r="G578" s="7" t="s">
        <v>102</v>
      </c>
      <c r="T578" s="7" t="str">
        <f aca="false">_xlfn.TEXTJOIN( , ,B578,C578)</f>
        <v>machine_room_v4Spot Cam - PTZ - 17 spot-cam-ptz.jpg</v>
      </c>
    </row>
    <row r="579" s="7" customFormat="true" ht="15.75" hidden="true" customHeight="true" outlineLevel="0" collapsed="false">
      <c r="A579" s="7" t="s">
        <v>20</v>
      </c>
      <c r="B579" s="7" t="s">
        <v>405</v>
      </c>
      <c r="C579" s="7" t="s">
        <v>56</v>
      </c>
      <c r="D579" s="7" t="s">
        <v>434</v>
      </c>
      <c r="E579" s="7" t="s">
        <v>447</v>
      </c>
      <c r="F579" s="7" t="s">
        <v>426</v>
      </c>
      <c r="G579" s="7" t="s">
        <v>102</v>
      </c>
      <c r="T579" s="7" t="str">
        <f aca="false">_xlfn.TEXTJOIN( , ,B579,C579)</f>
        <v>machine_room_v4Spot Cam - PTZ - 17 spot-cam-ptz.jpg</v>
      </c>
    </row>
    <row r="580" s="7" customFormat="true" ht="15.75" hidden="true" customHeight="true" outlineLevel="0" collapsed="false">
      <c r="A580" s="7" t="s">
        <v>20</v>
      </c>
      <c r="B580" s="7" t="s">
        <v>405</v>
      </c>
      <c r="C580" s="7" t="s">
        <v>56</v>
      </c>
      <c r="D580" s="7" t="s">
        <v>434</v>
      </c>
      <c r="E580" s="7" t="s">
        <v>445</v>
      </c>
      <c r="F580" s="7" t="s">
        <v>426</v>
      </c>
      <c r="G580" s="7" t="s">
        <v>102</v>
      </c>
      <c r="T580" s="7" t="str">
        <f aca="false">_xlfn.TEXTJOIN( , ,B580,C580)</f>
        <v>machine_room_v4Spot Cam - PTZ - 17 spot-cam-ptz.jpg</v>
      </c>
    </row>
    <row r="581" s="7" customFormat="true" ht="15.75" hidden="true" customHeight="true" outlineLevel="0" collapsed="false">
      <c r="A581" s="7" t="s">
        <v>20</v>
      </c>
      <c r="B581" s="7" t="s">
        <v>405</v>
      </c>
      <c r="C581" s="7" t="s">
        <v>108</v>
      </c>
      <c r="D581" s="7" t="s">
        <v>434</v>
      </c>
      <c r="E581" s="7" t="s">
        <v>449</v>
      </c>
      <c r="F581" s="7" t="s">
        <v>450</v>
      </c>
      <c r="G581" s="7" t="s">
        <v>36</v>
      </c>
      <c r="J581" s="7" t="n">
        <v>0</v>
      </c>
      <c r="K581" s="7" t="n">
        <v>1.5</v>
      </c>
      <c r="L581" s="7" t="n">
        <v>0.65</v>
      </c>
      <c r="M581" s="7" t="n">
        <v>0.7</v>
      </c>
      <c r="O581" s="8" t="s">
        <v>451</v>
      </c>
      <c r="P581" s="8" t="s">
        <v>452</v>
      </c>
      <c r="T581" s="7" t="str">
        <f aca="false">_xlfn.TEXTJOIN( , ,B581,C581)</f>
        <v>machine_room_v4Spot Cam - PTZ - 18 spot-cam-ptz.jpg</v>
      </c>
    </row>
    <row r="582" s="7" customFormat="true" ht="15.75" hidden="true" customHeight="true" outlineLevel="0" collapsed="false">
      <c r="A582" s="7" t="s">
        <v>20</v>
      </c>
      <c r="B582" s="7" t="s">
        <v>405</v>
      </c>
      <c r="C582" s="7" t="s">
        <v>262</v>
      </c>
      <c r="D582" s="7" t="s">
        <v>434</v>
      </c>
      <c r="E582" s="10" t="s">
        <v>453</v>
      </c>
      <c r="F582" s="7" t="s">
        <v>414</v>
      </c>
      <c r="G582" s="7" t="s">
        <v>36</v>
      </c>
      <c r="J582" s="7" t="n">
        <v>0</v>
      </c>
      <c r="K582" s="7" t="n">
        <v>1.5</v>
      </c>
      <c r="L582" s="7" t="n">
        <v>0.6</v>
      </c>
      <c r="M582" s="7" t="n">
        <v>0.7</v>
      </c>
      <c r="N582" s="7" t="s">
        <v>436</v>
      </c>
      <c r="O582" s="8" t="s">
        <v>416</v>
      </c>
      <c r="P582" s="8" t="s">
        <v>417</v>
      </c>
      <c r="T582" s="7" t="str">
        <f aca="false">_xlfn.TEXTJOIN( , ,B582,C582)</f>
        <v>machine_room_v4Spot Cam - PTZ - 19 spot-cam-ptz.jpg</v>
      </c>
    </row>
    <row r="583" s="7" customFormat="true" ht="15.75" hidden="true" customHeight="true" outlineLevel="0" collapsed="false">
      <c r="A583" s="7" t="s">
        <v>20</v>
      </c>
      <c r="B583" s="7" t="s">
        <v>405</v>
      </c>
      <c r="C583" s="7" t="s">
        <v>262</v>
      </c>
      <c r="D583" s="7" t="s">
        <v>434</v>
      </c>
      <c r="E583" s="10" t="s">
        <v>454</v>
      </c>
      <c r="F583" s="7" t="s">
        <v>414</v>
      </c>
      <c r="G583" s="7" t="s">
        <v>36</v>
      </c>
      <c r="J583" s="7" t="n">
        <v>0</v>
      </c>
      <c r="K583" s="7" t="n">
        <v>1.5</v>
      </c>
      <c r="L583" s="7" t="n">
        <v>0.6</v>
      </c>
      <c r="M583" s="7" t="n">
        <v>1.5</v>
      </c>
      <c r="N583" s="7" t="s">
        <v>436</v>
      </c>
      <c r="O583" s="8" t="s">
        <v>416</v>
      </c>
      <c r="P583" s="8" t="s">
        <v>437</v>
      </c>
      <c r="T583" s="7" t="str">
        <f aca="false">_xlfn.TEXTJOIN( , ,B583,C583)</f>
        <v>machine_room_v4Spot Cam - PTZ - 19 spot-cam-ptz.jpg</v>
      </c>
    </row>
    <row r="584" s="7" customFormat="true" ht="15.75" hidden="true" customHeight="true" outlineLevel="0" collapsed="false">
      <c r="A584" s="7" t="s">
        <v>20</v>
      </c>
      <c r="B584" s="7" t="s">
        <v>405</v>
      </c>
      <c r="C584" s="7" t="s">
        <v>262</v>
      </c>
      <c r="D584" s="7" t="s">
        <v>434</v>
      </c>
      <c r="E584" s="10" t="s">
        <v>453</v>
      </c>
      <c r="F584" s="7" t="s">
        <v>421</v>
      </c>
      <c r="G584" s="7" t="s">
        <v>36</v>
      </c>
      <c r="J584" s="7" t="n">
        <v>0</v>
      </c>
      <c r="K584" s="7" t="n">
        <v>100</v>
      </c>
      <c r="L584" s="7" t="n">
        <v>15</v>
      </c>
      <c r="M584" s="7" t="n">
        <v>25</v>
      </c>
      <c r="N584" s="7" t="s">
        <v>422</v>
      </c>
      <c r="O584" s="8" t="s">
        <v>416</v>
      </c>
      <c r="P584" s="8" t="s">
        <v>455</v>
      </c>
      <c r="T584" s="7" t="str">
        <f aca="false">_xlfn.TEXTJOIN( , ,B584,C584)</f>
        <v>machine_room_v4Spot Cam - PTZ - 19 spot-cam-ptz.jpg</v>
      </c>
    </row>
    <row r="585" s="7" customFormat="true" ht="15.75" hidden="true" customHeight="true" outlineLevel="0" collapsed="false">
      <c r="A585" s="7" t="s">
        <v>20</v>
      </c>
      <c r="B585" s="7" t="s">
        <v>405</v>
      </c>
      <c r="C585" s="7" t="s">
        <v>262</v>
      </c>
      <c r="D585" s="7" t="s">
        <v>434</v>
      </c>
      <c r="E585" s="10" t="s">
        <v>454</v>
      </c>
      <c r="F585" s="7" t="s">
        <v>421</v>
      </c>
      <c r="G585" s="7" t="s">
        <v>36</v>
      </c>
      <c r="J585" s="7" t="n">
        <v>0</v>
      </c>
      <c r="K585" s="7" t="n">
        <v>100</v>
      </c>
      <c r="L585" s="7" t="n">
        <v>15</v>
      </c>
      <c r="M585" s="7" t="n">
        <v>25</v>
      </c>
      <c r="N585" s="7" t="s">
        <v>422</v>
      </c>
      <c r="O585" s="8" t="s">
        <v>416</v>
      </c>
      <c r="P585" s="8" t="s">
        <v>448</v>
      </c>
      <c r="T585" s="7" t="str">
        <f aca="false">_xlfn.TEXTJOIN( , ,B585,C585)</f>
        <v>machine_room_v4Spot Cam - PTZ - 19 spot-cam-ptz.jpg</v>
      </c>
    </row>
    <row r="586" s="7" customFormat="true" ht="15.75" hidden="true" customHeight="true" outlineLevel="0" collapsed="false">
      <c r="A586" s="7" t="s">
        <v>20</v>
      </c>
      <c r="B586" s="7" t="s">
        <v>405</v>
      </c>
      <c r="C586" s="7" t="s">
        <v>262</v>
      </c>
      <c r="D586" s="7" t="s">
        <v>434</v>
      </c>
      <c r="E586" s="7" t="s">
        <v>443</v>
      </c>
      <c r="F586" s="10" t="s">
        <v>349</v>
      </c>
      <c r="G586" s="7" t="s">
        <v>350</v>
      </c>
      <c r="O586" s="8" t="s">
        <v>416</v>
      </c>
      <c r="P586" s="8" t="s">
        <v>425</v>
      </c>
      <c r="T586" s="7" t="str">
        <f aca="false">_xlfn.TEXTJOIN( , ,B586,C586)</f>
        <v>machine_room_v4Spot Cam - PTZ - 19 spot-cam-ptz.jpg</v>
      </c>
    </row>
    <row r="587" s="7" customFormat="true" ht="15.75" hidden="true" customHeight="true" outlineLevel="0" collapsed="false">
      <c r="A587" s="7" t="s">
        <v>20</v>
      </c>
      <c r="B587" s="7" t="s">
        <v>405</v>
      </c>
      <c r="C587" s="7" t="s">
        <v>262</v>
      </c>
      <c r="D587" s="7" t="s">
        <v>434</v>
      </c>
      <c r="E587" s="10" t="s">
        <v>453</v>
      </c>
      <c r="F587" s="7" t="s">
        <v>426</v>
      </c>
      <c r="G587" s="7" t="s">
        <v>102</v>
      </c>
      <c r="T587" s="7" t="str">
        <f aca="false">_xlfn.TEXTJOIN( , ,B587,C587)</f>
        <v>machine_room_v4Spot Cam - PTZ - 19 spot-cam-ptz.jpg</v>
      </c>
    </row>
    <row r="588" s="7" customFormat="true" ht="15.75" hidden="true" customHeight="true" outlineLevel="0" collapsed="false">
      <c r="A588" s="7" t="s">
        <v>20</v>
      </c>
      <c r="B588" s="7" t="s">
        <v>405</v>
      </c>
      <c r="C588" s="7" t="s">
        <v>262</v>
      </c>
      <c r="D588" s="7" t="s">
        <v>434</v>
      </c>
      <c r="E588" s="10" t="s">
        <v>454</v>
      </c>
      <c r="F588" s="7" t="s">
        <v>426</v>
      </c>
      <c r="G588" s="7" t="s">
        <v>102</v>
      </c>
      <c r="T588" s="7" t="str">
        <f aca="false">_xlfn.TEXTJOIN( , ,B588,C588)</f>
        <v>machine_room_v4Spot Cam - PTZ - 19 spot-cam-ptz.jpg</v>
      </c>
    </row>
    <row r="589" s="7" customFormat="true" ht="15.75" hidden="false" customHeight="true" outlineLevel="0" collapsed="false">
      <c r="A589" s="7" t="s">
        <v>20</v>
      </c>
      <c r="B589" s="7" t="s">
        <v>405</v>
      </c>
      <c r="C589" s="7" t="s">
        <v>61</v>
      </c>
      <c r="D589" s="7" t="s">
        <v>456</v>
      </c>
      <c r="E589" s="7" t="s">
        <v>457</v>
      </c>
      <c r="F589" s="7" t="s">
        <v>402</v>
      </c>
      <c r="G589" s="7" t="s">
        <v>44</v>
      </c>
      <c r="O589" s="7" t="s">
        <v>458</v>
      </c>
      <c r="P589" s="7" t="s">
        <v>459</v>
      </c>
      <c r="S589" s="11" t="s">
        <v>403</v>
      </c>
      <c r="T589" s="7" t="str">
        <f aca="false">_xlfn.TEXTJOIN( , ,B589,C589)</f>
        <v>machine_room_v4Spot Cam - PTZ - 2 spot-cam-ptz.jpg</v>
      </c>
    </row>
    <row r="590" s="7" customFormat="true" ht="15.75" hidden="false" customHeight="true" outlineLevel="0" collapsed="false">
      <c r="A590" s="7" t="s">
        <v>20</v>
      </c>
      <c r="B590" s="7" t="s">
        <v>405</v>
      </c>
      <c r="C590" s="7" t="s">
        <v>61</v>
      </c>
      <c r="D590" s="7" t="s">
        <v>460</v>
      </c>
      <c r="E590" s="7" t="s">
        <v>457</v>
      </c>
      <c r="F590" s="7" t="s">
        <v>402</v>
      </c>
      <c r="G590" s="7" t="s">
        <v>44</v>
      </c>
      <c r="O590" s="7" t="s">
        <v>458</v>
      </c>
      <c r="P590" s="7" t="s">
        <v>459</v>
      </c>
      <c r="S590" s="11" t="s">
        <v>403</v>
      </c>
      <c r="T590" s="7" t="str">
        <f aca="false">_xlfn.TEXTJOIN( , ,B590,C590)</f>
        <v>machine_room_v4Spot Cam - PTZ - 2 spot-cam-ptz.jpg</v>
      </c>
    </row>
    <row r="591" s="7" customFormat="true" ht="15.75" hidden="true" customHeight="true" outlineLevel="0" collapsed="false">
      <c r="A591" s="7" t="s">
        <v>20</v>
      </c>
      <c r="B591" s="7" t="s">
        <v>405</v>
      </c>
      <c r="C591" s="7" t="s">
        <v>111</v>
      </c>
      <c r="D591" s="7" t="s">
        <v>461</v>
      </c>
      <c r="E591" s="7" t="s">
        <v>443</v>
      </c>
      <c r="F591" s="10" t="s">
        <v>349</v>
      </c>
      <c r="G591" s="7" t="s">
        <v>350</v>
      </c>
      <c r="O591" s="8" t="s">
        <v>462</v>
      </c>
      <c r="P591" s="8" t="s">
        <v>463</v>
      </c>
      <c r="T591" s="7" t="str">
        <f aca="false">_xlfn.TEXTJOIN( , ,B591,C591)</f>
        <v>machine_room_v4Spot Cam - PTZ - 21 spot-cam-ptz.jpg</v>
      </c>
    </row>
    <row r="592" s="7" customFormat="true" ht="15.75" hidden="true" customHeight="true" outlineLevel="0" collapsed="false">
      <c r="A592" s="7" t="s">
        <v>20</v>
      </c>
      <c r="B592" s="7" t="s">
        <v>405</v>
      </c>
      <c r="C592" s="7" t="s">
        <v>111</v>
      </c>
      <c r="D592" s="7" t="s">
        <v>461</v>
      </c>
      <c r="E592" s="7" t="s">
        <v>464</v>
      </c>
      <c r="F592" s="7" t="s">
        <v>426</v>
      </c>
      <c r="G592" s="7" t="s">
        <v>102</v>
      </c>
      <c r="O592" s="8" t="s">
        <v>462</v>
      </c>
      <c r="P592" s="8" t="s">
        <v>463</v>
      </c>
      <c r="T592" s="7" t="str">
        <f aca="false">_xlfn.TEXTJOIN( , ,B592,C592)</f>
        <v>machine_room_v4Spot Cam - PTZ - 21 spot-cam-ptz.jpg</v>
      </c>
    </row>
    <row r="593" s="7" customFormat="true" ht="15.75" hidden="true" customHeight="true" outlineLevel="0" collapsed="false">
      <c r="A593" s="7" t="s">
        <v>20</v>
      </c>
      <c r="B593" s="7" t="s">
        <v>405</v>
      </c>
      <c r="C593" s="7" t="s">
        <v>111</v>
      </c>
      <c r="D593" s="7" t="s">
        <v>461</v>
      </c>
      <c r="E593" s="7" t="s">
        <v>465</v>
      </c>
      <c r="F593" s="7" t="s">
        <v>426</v>
      </c>
      <c r="G593" s="7" t="s">
        <v>102</v>
      </c>
      <c r="O593" s="8" t="s">
        <v>462</v>
      </c>
      <c r="P593" s="8" t="s">
        <v>463</v>
      </c>
      <c r="T593" s="7" t="str">
        <f aca="false">_xlfn.TEXTJOIN( , ,B593,C593)</f>
        <v>machine_room_v4Spot Cam - PTZ - 21 spot-cam-ptz.jpg</v>
      </c>
    </row>
    <row r="594" s="7" customFormat="true" ht="15.75" hidden="true" customHeight="true" outlineLevel="0" collapsed="false">
      <c r="A594" s="7" t="s">
        <v>20</v>
      </c>
      <c r="B594" s="7" t="s">
        <v>405</v>
      </c>
      <c r="C594" s="7" t="s">
        <v>111</v>
      </c>
      <c r="D594" s="7" t="s">
        <v>461</v>
      </c>
      <c r="E594" s="7" t="s">
        <v>464</v>
      </c>
      <c r="F594" s="7" t="s">
        <v>426</v>
      </c>
      <c r="G594" s="7" t="s">
        <v>102</v>
      </c>
      <c r="O594" s="8" t="s">
        <v>462</v>
      </c>
      <c r="P594" s="8" t="s">
        <v>463</v>
      </c>
      <c r="T594" s="7" t="str">
        <f aca="false">_xlfn.TEXTJOIN( , ,B594,C594)</f>
        <v>machine_room_v4Spot Cam - PTZ - 21 spot-cam-ptz.jpg</v>
      </c>
    </row>
    <row r="595" s="7" customFormat="true" ht="15.75" hidden="true" customHeight="true" outlineLevel="0" collapsed="false">
      <c r="A595" s="7" t="s">
        <v>20</v>
      </c>
      <c r="B595" s="7" t="s">
        <v>405</v>
      </c>
      <c r="C595" s="7" t="s">
        <v>111</v>
      </c>
      <c r="D595" s="7" t="s">
        <v>461</v>
      </c>
      <c r="E595" s="7" t="s">
        <v>464</v>
      </c>
      <c r="F595" s="7" t="s">
        <v>426</v>
      </c>
      <c r="G595" s="7" t="s">
        <v>102</v>
      </c>
      <c r="O595" s="8" t="s">
        <v>462</v>
      </c>
      <c r="P595" s="8" t="s">
        <v>463</v>
      </c>
      <c r="T595" s="7" t="str">
        <f aca="false">_xlfn.TEXTJOIN( , ,B595,C595)</f>
        <v>machine_room_v4Spot Cam - PTZ - 21 spot-cam-ptz.jpg</v>
      </c>
    </row>
    <row r="596" s="7" customFormat="true" ht="15.75" hidden="true" customHeight="true" outlineLevel="0" collapsed="false">
      <c r="A596" s="7" t="s">
        <v>20</v>
      </c>
      <c r="B596" s="7" t="s">
        <v>405</v>
      </c>
      <c r="C596" s="7" t="s">
        <v>111</v>
      </c>
      <c r="D596" s="7" t="s">
        <v>461</v>
      </c>
      <c r="E596" s="7" t="s">
        <v>465</v>
      </c>
      <c r="F596" s="7" t="s">
        <v>426</v>
      </c>
      <c r="G596" s="7" t="s">
        <v>102</v>
      </c>
      <c r="O596" s="8" t="s">
        <v>462</v>
      </c>
      <c r="P596" s="8" t="s">
        <v>463</v>
      </c>
      <c r="T596" s="7" t="str">
        <f aca="false">_xlfn.TEXTJOIN( , ,B596,C596)</f>
        <v>machine_room_v4Spot Cam - PTZ - 21 spot-cam-ptz.jpg</v>
      </c>
    </row>
    <row r="597" s="7" customFormat="true" ht="15.75" hidden="true" customHeight="true" outlineLevel="0" collapsed="false">
      <c r="A597" s="7" t="s">
        <v>20</v>
      </c>
      <c r="B597" s="7" t="s">
        <v>405</v>
      </c>
      <c r="C597" s="7" t="s">
        <v>111</v>
      </c>
      <c r="D597" s="7" t="s">
        <v>461</v>
      </c>
      <c r="E597" s="7" t="s">
        <v>465</v>
      </c>
      <c r="F597" s="7" t="s">
        <v>426</v>
      </c>
      <c r="G597" s="7" t="s">
        <v>102</v>
      </c>
      <c r="O597" s="8" t="s">
        <v>462</v>
      </c>
      <c r="P597" s="8" t="s">
        <v>463</v>
      </c>
      <c r="T597" s="7" t="str">
        <f aca="false">_xlfn.TEXTJOIN( , ,B597,C597)</f>
        <v>machine_room_v4Spot Cam - PTZ - 21 spot-cam-ptz.jpg</v>
      </c>
    </row>
    <row r="598" s="7" customFormat="true" ht="15.75" hidden="true" customHeight="true" outlineLevel="0" collapsed="false">
      <c r="A598" s="7" t="s">
        <v>20</v>
      </c>
      <c r="B598" s="7" t="s">
        <v>405</v>
      </c>
      <c r="C598" s="7" t="s">
        <v>113</v>
      </c>
      <c r="D598" s="7" t="s">
        <v>461</v>
      </c>
      <c r="E598" s="7" t="s">
        <v>420</v>
      </c>
      <c r="F598" s="7" t="s">
        <v>466</v>
      </c>
      <c r="G598" s="7" t="s">
        <v>36</v>
      </c>
      <c r="J598" s="7" t="n">
        <v>0</v>
      </c>
      <c r="K598" s="7" t="n">
        <v>2</v>
      </c>
      <c r="L598" s="7" t="n">
        <v>0.45</v>
      </c>
      <c r="M598" s="7" t="n">
        <v>0.55</v>
      </c>
      <c r="N598" s="7" t="s">
        <v>467</v>
      </c>
      <c r="O598" s="8" t="s">
        <v>462</v>
      </c>
      <c r="P598" s="8" t="s">
        <v>468</v>
      </c>
      <c r="T598" s="7" t="str">
        <f aca="false">_xlfn.TEXTJOIN( , ,B598,C598)</f>
        <v>machine_room_v4Spot Cam - PTZ - 22 spot-cam-ptz.jpg</v>
      </c>
    </row>
    <row r="599" s="7" customFormat="true" ht="15.75" hidden="true" customHeight="true" outlineLevel="0" collapsed="false">
      <c r="A599" s="7" t="s">
        <v>20</v>
      </c>
      <c r="B599" s="7" t="s">
        <v>405</v>
      </c>
      <c r="C599" s="7" t="s">
        <v>113</v>
      </c>
      <c r="D599" s="7" t="s">
        <v>461</v>
      </c>
      <c r="E599" s="7" t="s">
        <v>419</v>
      </c>
      <c r="F599" s="7" t="s">
        <v>466</v>
      </c>
      <c r="G599" s="7" t="s">
        <v>36</v>
      </c>
      <c r="J599" s="7" t="n">
        <v>0</v>
      </c>
      <c r="K599" s="7" t="n">
        <v>2</v>
      </c>
      <c r="L599" s="7" t="n">
        <v>0.45</v>
      </c>
      <c r="M599" s="7" t="n">
        <v>0.55</v>
      </c>
      <c r="N599" s="7" t="s">
        <v>467</v>
      </c>
      <c r="O599" s="8" t="s">
        <v>462</v>
      </c>
      <c r="P599" s="8" t="s">
        <v>468</v>
      </c>
      <c r="T599" s="7" t="str">
        <f aca="false">_xlfn.TEXTJOIN( , ,B599,C599)</f>
        <v>machine_room_v4Spot Cam - PTZ - 22 spot-cam-ptz.jpg</v>
      </c>
    </row>
    <row r="600" s="7" customFormat="true" ht="15.75" hidden="true" customHeight="true" outlineLevel="0" collapsed="false">
      <c r="A600" s="7" t="s">
        <v>20</v>
      </c>
      <c r="B600" s="7" t="s">
        <v>405</v>
      </c>
      <c r="C600" s="7" t="s">
        <v>113</v>
      </c>
      <c r="D600" s="7" t="s">
        <v>461</v>
      </c>
      <c r="E600" s="7" t="s">
        <v>443</v>
      </c>
      <c r="F600" s="10" t="s">
        <v>349</v>
      </c>
      <c r="G600" s="7" t="s">
        <v>350</v>
      </c>
      <c r="O600" s="8" t="s">
        <v>462</v>
      </c>
      <c r="P600" s="8" t="s">
        <v>463</v>
      </c>
      <c r="T600" s="7" t="str">
        <f aca="false">_xlfn.TEXTJOIN( , ,B600,C600)</f>
        <v>machine_room_v4Spot Cam - PTZ - 22 spot-cam-ptz.jpg</v>
      </c>
    </row>
    <row r="601" s="7" customFormat="true" ht="15.75" hidden="true" customHeight="true" outlineLevel="0" collapsed="false">
      <c r="A601" s="7" t="s">
        <v>20</v>
      </c>
      <c r="B601" s="7" t="s">
        <v>405</v>
      </c>
      <c r="C601" s="7" t="s">
        <v>114</v>
      </c>
      <c r="D601" s="7" t="s">
        <v>434</v>
      </c>
      <c r="E601" s="7" t="s">
        <v>469</v>
      </c>
      <c r="F601" s="10" t="s">
        <v>349</v>
      </c>
      <c r="G601" s="7" t="s">
        <v>470</v>
      </c>
      <c r="O601" s="8" t="s">
        <v>416</v>
      </c>
      <c r="P601" s="8" t="s">
        <v>471</v>
      </c>
      <c r="T601" s="7" t="str">
        <f aca="false">_xlfn.TEXTJOIN( , ,B601,C601)</f>
        <v>machine_room_v4Spot Cam - PTZ - 23 spot-cam-ptz.jpg</v>
      </c>
    </row>
    <row r="602" s="7" customFormat="true" ht="15.75" hidden="true" customHeight="true" outlineLevel="0" collapsed="false">
      <c r="A602" s="7" t="s">
        <v>20</v>
      </c>
      <c r="B602" s="7" t="s">
        <v>405</v>
      </c>
      <c r="C602" s="7" t="s">
        <v>116</v>
      </c>
      <c r="D602" s="7" t="s">
        <v>461</v>
      </c>
      <c r="E602" s="7" t="s">
        <v>443</v>
      </c>
      <c r="F602" s="10" t="s">
        <v>349</v>
      </c>
      <c r="G602" s="7" t="s">
        <v>350</v>
      </c>
      <c r="O602" s="8" t="s">
        <v>462</v>
      </c>
      <c r="P602" s="8" t="s">
        <v>463</v>
      </c>
      <c r="T602" s="7" t="str">
        <f aca="false">_xlfn.TEXTJOIN( , ,B602,C602)</f>
        <v>machine_room_v4Spot Cam - PTZ - 24 spot-cam-ptz.jpg</v>
      </c>
    </row>
    <row r="603" s="7" customFormat="true" ht="15.75" hidden="true" customHeight="true" outlineLevel="0" collapsed="false">
      <c r="A603" s="7" t="s">
        <v>20</v>
      </c>
      <c r="B603" s="7" t="s">
        <v>405</v>
      </c>
      <c r="C603" s="7" t="s">
        <v>116</v>
      </c>
      <c r="D603" s="7" t="s">
        <v>461</v>
      </c>
      <c r="E603" s="7" t="s">
        <v>420</v>
      </c>
      <c r="F603" s="7" t="s">
        <v>426</v>
      </c>
      <c r="G603" s="7" t="s">
        <v>102</v>
      </c>
      <c r="O603" s="8" t="s">
        <v>462</v>
      </c>
      <c r="P603" s="8" t="s">
        <v>463</v>
      </c>
      <c r="T603" s="7" t="str">
        <f aca="false">_xlfn.TEXTJOIN( , ,B603,C603)</f>
        <v>machine_room_v4Spot Cam - PTZ - 24 spot-cam-ptz.jpg</v>
      </c>
    </row>
    <row r="604" s="7" customFormat="true" ht="15.75" hidden="true" customHeight="true" outlineLevel="0" collapsed="false">
      <c r="A604" s="7" t="s">
        <v>20</v>
      </c>
      <c r="B604" s="7" t="s">
        <v>405</v>
      </c>
      <c r="C604" s="7" t="s">
        <v>116</v>
      </c>
      <c r="D604" s="7" t="s">
        <v>461</v>
      </c>
      <c r="E604" s="7" t="s">
        <v>420</v>
      </c>
      <c r="F604" s="7" t="s">
        <v>426</v>
      </c>
      <c r="G604" s="7" t="s">
        <v>102</v>
      </c>
      <c r="O604" s="8" t="s">
        <v>462</v>
      </c>
      <c r="P604" s="8" t="s">
        <v>463</v>
      </c>
      <c r="T604" s="7" t="str">
        <f aca="false">_xlfn.TEXTJOIN( , ,B604,C604)</f>
        <v>machine_room_v4Spot Cam - PTZ - 24 spot-cam-ptz.jpg</v>
      </c>
    </row>
    <row r="605" s="7" customFormat="true" ht="15.75" hidden="true" customHeight="true" outlineLevel="0" collapsed="false">
      <c r="A605" s="7" t="s">
        <v>20</v>
      </c>
      <c r="B605" s="7" t="s">
        <v>405</v>
      </c>
      <c r="C605" s="7" t="s">
        <v>116</v>
      </c>
      <c r="D605" s="7" t="s">
        <v>461</v>
      </c>
      <c r="E605" s="7" t="s">
        <v>419</v>
      </c>
      <c r="F605" s="7" t="s">
        <v>426</v>
      </c>
      <c r="G605" s="7" t="s">
        <v>102</v>
      </c>
      <c r="O605" s="8" t="s">
        <v>462</v>
      </c>
      <c r="P605" s="8" t="s">
        <v>463</v>
      </c>
      <c r="T605" s="7" t="str">
        <f aca="false">_xlfn.TEXTJOIN( , ,B605,C605)</f>
        <v>machine_room_v4Spot Cam - PTZ - 24 spot-cam-ptz.jpg</v>
      </c>
    </row>
    <row r="606" s="7" customFormat="true" ht="15.75" hidden="true" customHeight="true" outlineLevel="0" collapsed="false">
      <c r="A606" s="7" t="s">
        <v>20</v>
      </c>
      <c r="B606" s="7" t="s">
        <v>405</v>
      </c>
      <c r="C606" s="7" t="s">
        <v>118</v>
      </c>
      <c r="D606" s="7" t="s">
        <v>461</v>
      </c>
      <c r="E606" s="7" t="s">
        <v>472</v>
      </c>
      <c r="F606" s="7" t="s">
        <v>473</v>
      </c>
      <c r="G606" s="7" t="s">
        <v>36</v>
      </c>
      <c r="J606" s="7" t="n">
        <v>0</v>
      </c>
      <c r="K606" s="7" t="n">
        <v>16</v>
      </c>
      <c r="L606" s="7" t="n">
        <v>5.5</v>
      </c>
      <c r="M606" s="7" t="n">
        <v>6.5</v>
      </c>
      <c r="N606" s="7" t="s">
        <v>474</v>
      </c>
      <c r="O606" s="8" t="s">
        <v>462</v>
      </c>
      <c r="P606" s="8" t="s">
        <v>468</v>
      </c>
      <c r="T606" s="7" t="str">
        <f aca="false">_xlfn.TEXTJOIN( , ,B606,C606)</f>
        <v>machine_room_v4Spot Cam - PTZ - 25 spot-cam-ptz.jpg</v>
      </c>
    </row>
    <row r="607" s="7" customFormat="true" ht="15.75" hidden="true" customHeight="true" outlineLevel="0" collapsed="false">
      <c r="A607" s="7" t="s">
        <v>20</v>
      </c>
      <c r="B607" s="7" t="s">
        <v>405</v>
      </c>
      <c r="C607" s="7" t="s">
        <v>271</v>
      </c>
      <c r="D607" s="7" t="s">
        <v>475</v>
      </c>
      <c r="E607" s="7" t="s">
        <v>476</v>
      </c>
      <c r="F607" s="10" t="s">
        <v>477</v>
      </c>
      <c r="G607" s="7" t="s">
        <v>478</v>
      </c>
      <c r="O607" s="8" t="s">
        <v>479</v>
      </c>
      <c r="P607" s="8" t="s">
        <v>480</v>
      </c>
      <c r="T607" s="7" t="str">
        <f aca="false">_xlfn.TEXTJOIN( , ,B607,C607)</f>
        <v>machine_room_v4Spot Cam - PTZ - 26 spot-cam-ptz.jpg</v>
      </c>
    </row>
    <row r="608" s="7" customFormat="true" ht="15.75" hidden="true" customHeight="true" outlineLevel="0" collapsed="false">
      <c r="A608" s="7" t="s">
        <v>20</v>
      </c>
      <c r="B608" s="7" t="s">
        <v>405</v>
      </c>
      <c r="C608" s="7" t="s">
        <v>119</v>
      </c>
      <c r="D608" s="7" t="s">
        <v>481</v>
      </c>
      <c r="E608" s="7" t="s">
        <v>482</v>
      </c>
      <c r="F608" s="7" t="s">
        <v>483</v>
      </c>
      <c r="G608" s="7" t="s">
        <v>36</v>
      </c>
      <c r="J608" s="7" t="n">
        <v>0</v>
      </c>
      <c r="K608" s="7" t="n">
        <v>1.5</v>
      </c>
      <c r="L608" s="7" t="n">
        <v>0.55</v>
      </c>
      <c r="M608" s="7" t="n">
        <v>0.6</v>
      </c>
      <c r="O608" s="8" t="s">
        <v>462</v>
      </c>
      <c r="P608" s="8" t="s">
        <v>468</v>
      </c>
      <c r="T608" s="7" t="str">
        <f aca="false">_xlfn.TEXTJOIN( , ,B608,C608)</f>
        <v>machine_room_v4Spot Cam - PTZ - 27 spot-cam-ptz.jpg</v>
      </c>
    </row>
    <row r="609" s="7" customFormat="true" ht="15.75" hidden="true" customHeight="true" outlineLevel="0" collapsed="false">
      <c r="A609" s="7" t="s">
        <v>20</v>
      </c>
      <c r="B609" s="7" t="s">
        <v>405</v>
      </c>
      <c r="C609" s="7" t="s">
        <v>119</v>
      </c>
      <c r="D609" s="7" t="s">
        <v>481</v>
      </c>
      <c r="E609" s="7" t="s">
        <v>482</v>
      </c>
      <c r="F609" s="10" t="s">
        <v>349</v>
      </c>
      <c r="G609" s="7" t="s">
        <v>350</v>
      </c>
      <c r="O609" s="8" t="s">
        <v>462</v>
      </c>
      <c r="P609" s="8" t="s">
        <v>463</v>
      </c>
      <c r="T609" s="7" t="str">
        <f aca="false">_xlfn.TEXTJOIN( , ,B609,C609)</f>
        <v>machine_room_v4Spot Cam - PTZ - 27 spot-cam-ptz.jpg</v>
      </c>
    </row>
    <row r="610" s="7" customFormat="true" ht="15.75" hidden="true" customHeight="true" outlineLevel="0" collapsed="false">
      <c r="A610" s="7" t="s">
        <v>20</v>
      </c>
      <c r="B610" s="7" t="s">
        <v>405</v>
      </c>
      <c r="C610" s="7" t="s">
        <v>119</v>
      </c>
      <c r="D610" s="7" t="s">
        <v>481</v>
      </c>
      <c r="E610" s="7" t="s">
        <v>482</v>
      </c>
      <c r="F610" s="7" t="s">
        <v>426</v>
      </c>
      <c r="G610" s="7" t="s">
        <v>102</v>
      </c>
      <c r="O610" s="8" t="s">
        <v>462</v>
      </c>
      <c r="P610" s="8" t="s">
        <v>463</v>
      </c>
      <c r="T610" s="7" t="str">
        <f aca="false">_xlfn.TEXTJOIN( , ,B610,C610)</f>
        <v>machine_room_v4Spot Cam - PTZ - 27 spot-cam-ptz.jpg</v>
      </c>
    </row>
    <row r="611" s="7" customFormat="true" ht="15.75" hidden="false" customHeight="true" outlineLevel="0" collapsed="false">
      <c r="A611" s="7" t="s">
        <v>20</v>
      </c>
      <c r="B611" s="7" t="s">
        <v>405</v>
      </c>
      <c r="C611" s="7" t="s">
        <v>121</v>
      </c>
      <c r="D611" s="7" t="s">
        <v>481</v>
      </c>
      <c r="E611" s="7" t="s">
        <v>484</v>
      </c>
      <c r="F611" s="7" t="s">
        <v>485</v>
      </c>
      <c r="G611" s="7" t="s">
        <v>44</v>
      </c>
      <c r="O611" s="8" t="s">
        <v>462</v>
      </c>
      <c r="P611" s="8" t="s">
        <v>486</v>
      </c>
      <c r="S611" s="11" t="s">
        <v>487</v>
      </c>
      <c r="T611" s="7" t="str">
        <f aca="false">_xlfn.TEXTJOIN( , ,B611,C611)</f>
        <v>machine_room_v4Spot Cam - PTZ - 28 spot-cam-ptz.jpg</v>
      </c>
    </row>
    <row r="612" s="7" customFormat="true" ht="15.75" hidden="true" customHeight="true" outlineLevel="0" collapsed="false">
      <c r="A612" s="7" t="s">
        <v>20</v>
      </c>
      <c r="B612" s="7" t="s">
        <v>405</v>
      </c>
      <c r="C612" s="7" t="s">
        <v>125</v>
      </c>
      <c r="D612" s="7" t="s">
        <v>475</v>
      </c>
      <c r="E612" s="7" t="s">
        <v>443</v>
      </c>
      <c r="F612" s="10" t="s">
        <v>349</v>
      </c>
      <c r="G612" s="7" t="s">
        <v>350</v>
      </c>
      <c r="O612" s="8" t="s">
        <v>479</v>
      </c>
      <c r="P612" s="8" t="s">
        <v>488</v>
      </c>
      <c r="T612" s="7" t="str">
        <f aca="false">_xlfn.TEXTJOIN( , ,B612,C612)</f>
        <v>machine_room_v4Spot Cam - PTZ - 29 spot-cam-ptz.jpg</v>
      </c>
    </row>
    <row r="613" s="7" customFormat="true" ht="15.75" hidden="true" customHeight="true" outlineLevel="0" collapsed="false">
      <c r="A613" s="7" t="s">
        <v>20</v>
      </c>
      <c r="B613" s="7" t="s">
        <v>405</v>
      </c>
      <c r="C613" s="7" t="s">
        <v>125</v>
      </c>
      <c r="D613" s="7" t="s">
        <v>475</v>
      </c>
      <c r="E613" s="7" t="s">
        <v>470</v>
      </c>
      <c r="F613" s="10" t="s">
        <v>349</v>
      </c>
      <c r="G613" s="7" t="s">
        <v>470</v>
      </c>
      <c r="O613" s="8" t="s">
        <v>479</v>
      </c>
      <c r="P613" s="8" t="s">
        <v>489</v>
      </c>
      <c r="T613" s="7" t="str">
        <f aca="false">_xlfn.TEXTJOIN( , ,B613,C613)</f>
        <v>machine_room_v4Spot Cam - PTZ - 29 spot-cam-ptz.jpg</v>
      </c>
    </row>
    <row r="614" s="7" customFormat="true" ht="15.75" hidden="true" customHeight="true" outlineLevel="0" collapsed="false">
      <c r="A614" s="7" t="s">
        <v>20</v>
      </c>
      <c r="B614" s="7" t="s">
        <v>405</v>
      </c>
      <c r="C614" s="7" t="s">
        <v>62</v>
      </c>
      <c r="D614" s="7" t="s">
        <v>482</v>
      </c>
      <c r="E614" s="7" t="s">
        <v>490</v>
      </c>
      <c r="F614" s="10" t="s">
        <v>491</v>
      </c>
      <c r="G614" s="7" t="s">
        <v>492</v>
      </c>
      <c r="O614" s="8" t="s">
        <v>493</v>
      </c>
      <c r="P614" s="8" t="s">
        <v>494</v>
      </c>
      <c r="Q614" s="8" t="s">
        <v>495</v>
      </c>
      <c r="T614" s="7" t="str">
        <f aca="false">_xlfn.TEXTJOIN( , ,B614,C614)</f>
        <v>machine_room_v4Spot Cam - PTZ - 3 spot-cam-ptz.jpg</v>
      </c>
    </row>
    <row r="615" s="7" customFormat="true" ht="15.75" hidden="true" customHeight="true" outlineLevel="0" collapsed="false">
      <c r="A615" s="7" t="s">
        <v>20</v>
      </c>
      <c r="B615" s="7" t="s">
        <v>405</v>
      </c>
      <c r="C615" s="7" t="s">
        <v>127</v>
      </c>
      <c r="D615" s="7" t="s">
        <v>461</v>
      </c>
      <c r="E615" s="7" t="s">
        <v>472</v>
      </c>
      <c r="F615" s="7" t="s">
        <v>473</v>
      </c>
      <c r="G615" s="7" t="s">
        <v>36</v>
      </c>
      <c r="J615" s="7" t="n">
        <v>0</v>
      </c>
      <c r="K615" s="7" t="n">
        <v>16</v>
      </c>
      <c r="L615" s="7" t="n">
        <v>5.5</v>
      </c>
      <c r="M615" s="7" t="n">
        <v>6.5</v>
      </c>
      <c r="N615" s="7" t="s">
        <v>474</v>
      </c>
      <c r="O615" s="8" t="s">
        <v>462</v>
      </c>
      <c r="P615" s="8" t="s">
        <v>468</v>
      </c>
      <c r="T615" s="7" t="str">
        <f aca="false">_xlfn.TEXTJOIN( , ,B615,C615)</f>
        <v>machine_room_v4Spot Cam - PTZ - 30 spot-cam-ptz.jpg</v>
      </c>
    </row>
    <row r="616" s="7" customFormat="true" ht="15.75" hidden="true" customHeight="true" outlineLevel="0" collapsed="false">
      <c r="A616" s="7" t="s">
        <v>20</v>
      </c>
      <c r="B616" s="7" t="s">
        <v>405</v>
      </c>
      <c r="C616" s="7" t="s">
        <v>128</v>
      </c>
      <c r="D616" s="7" t="s">
        <v>434</v>
      </c>
      <c r="E616" s="7" t="s">
        <v>496</v>
      </c>
      <c r="F616" s="7" t="s">
        <v>426</v>
      </c>
      <c r="G616" s="7" t="s">
        <v>102</v>
      </c>
      <c r="T616" s="7" t="str">
        <f aca="false">_xlfn.TEXTJOIN( , ,B616,C616)</f>
        <v>machine_room_v4Spot Cam - PTZ - 31 spot-cam-ptz.jpg</v>
      </c>
    </row>
    <row r="617" s="7" customFormat="true" ht="15.75" hidden="true" customHeight="true" outlineLevel="0" collapsed="false">
      <c r="A617" s="7" t="s">
        <v>20</v>
      </c>
      <c r="B617" s="7" t="s">
        <v>405</v>
      </c>
      <c r="C617" s="7" t="s">
        <v>128</v>
      </c>
      <c r="D617" s="7" t="s">
        <v>434</v>
      </c>
      <c r="E617" s="7" t="s">
        <v>497</v>
      </c>
      <c r="F617" s="7" t="s">
        <v>426</v>
      </c>
      <c r="G617" s="7" t="s">
        <v>102</v>
      </c>
      <c r="T617" s="7" t="str">
        <f aca="false">_xlfn.TEXTJOIN( , ,B617,C617)</f>
        <v>machine_room_v4Spot Cam - PTZ - 31 spot-cam-ptz.jpg</v>
      </c>
    </row>
    <row r="618" s="7" customFormat="true" ht="15.75" hidden="true" customHeight="true" outlineLevel="0" collapsed="false">
      <c r="A618" s="7" t="s">
        <v>20</v>
      </c>
      <c r="B618" s="7" t="s">
        <v>405</v>
      </c>
      <c r="C618" s="7" t="s">
        <v>128</v>
      </c>
      <c r="D618" s="7" t="s">
        <v>434</v>
      </c>
      <c r="E618" s="7" t="s">
        <v>498</v>
      </c>
      <c r="F618" s="7" t="s">
        <v>426</v>
      </c>
      <c r="G618" s="7" t="s">
        <v>102</v>
      </c>
      <c r="T618" s="7" t="str">
        <f aca="false">_xlfn.TEXTJOIN( , ,B618,C618)</f>
        <v>machine_room_v4Spot Cam - PTZ - 31 spot-cam-ptz.jpg</v>
      </c>
    </row>
    <row r="619" s="7" customFormat="true" ht="15.75" hidden="true" customHeight="true" outlineLevel="0" collapsed="false">
      <c r="A619" s="7" t="s">
        <v>20</v>
      </c>
      <c r="B619" s="7" t="s">
        <v>405</v>
      </c>
      <c r="C619" s="7" t="s">
        <v>128</v>
      </c>
      <c r="D619" s="7" t="s">
        <v>434</v>
      </c>
      <c r="E619" s="7" t="s">
        <v>499</v>
      </c>
      <c r="F619" s="7" t="s">
        <v>426</v>
      </c>
      <c r="G619" s="7" t="s">
        <v>102</v>
      </c>
      <c r="T619" s="7" t="str">
        <f aca="false">_xlfn.TEXTJOIN( , ,B619,C619)</f>
        <v>machine_room_v4Spot Cam - PTZ - 31 spot-cam-ptz.jpg</v>
      </c>
    </row>
    <row r="620" s="7" customFormat="true" ht="15.75" hidden="true" customHeight="true" outlineLevel="0" collapsed="false">
      <c r="A620" s="7" t="s">
        <v>20</v>
      </c>
      <c r="B620" s="7" t="s">
        <v>405</v>
      </c>
      <c r="C620" s="7" t="s">
        <v>128</v>
      </c>
      <c r="D620" s="7" t="s">
        <v>434</v>
      </c>
      <c r="E620" s="7" t="s">
        <v>500</v>
      </c>
      <c r="F620" s="7" t="s">
        <v>426</v>
      </c>
      <c r="G620" s="7" t="s">
        <v>102</v>
      </c>
      <c r="T620" s="7" t="str">
        <f aca="false">_xlfn.TEXTJOIN( , ,B620,C620)</f>
        <v>machine_room_v4Spot Cam - PTZ - 31 spot-cam-ptz.jpg</v>
      </c>
    </row>
    <row r="621" s="7" customFormat="true" ht="15.75" hidden="true" customHeight="true" outlineLevel="0" collapsed="false">
      <c r="A621" s="7" t="s">
        <v>20</v>
      </c>
      <c r="B621" s="7" t="s">
        <v>405</v>
      </c>
      <c r="C621" s="7" t="s">
        <v>128</v>
      </c>
      <c r="D621" s="7" t="s">
        <v>434</v>
      </c>
      <c r="E621" s="7" t="s">
        <v>501</v>
      </c>
      <c r="F621" s="7" t="s">
        <v>426</v>
      </c>
      <c r="G621" s="7" t="s">
        <v>102</v>
      </c>
      <c r="T621" s="7" t="str">
        <f aca="false">_xlfn.TEXTJOIN( , ,B621,C621)</f>
        <v>machine_room_v4Spot Cam - PTZ - 31 spot-cam-ptz.jpg</v>
      </c>
    </row>
    <row r="622" s="7" customFormat="true" ht="15.75" hidden="true" customHeight="true" outlineLevel="0" collapsed="false">
      <c r="A622" s="7" t="s">
        <v>20</v>
      </c>
      <c r="B622" s="7" t="s">
        <v>405</v>
      </c>
      <c r="C622" s="7" t="s">
        <v>128</v>
      </c>
      <c r="D622" s="7" t="s">
        <v>434</v>
      </c>
      <c r="E622" s="7" t="s">
        <v>502</v>
      </c>
      <c r="F622" s="7" t="s">
        <v>426</v>
      </c>
      <c r="G622" s="7" t="s">
        <v>102</v>
      </c>
      <c r="T622" s="7" t="str">
        <f aca="false">_xlfn.TEXTJOIN( , ,B622,C622)</f>
        <v>machine_room_v4Spot Cam - PTZ - 31 spot-cam-ptz.jpg</v>
      </c>
    </row>
    <row r="623" s="7" customFormat="true" ht="15.75" hidden="true" customHeight="true" outlineLevel="0" collapsed="false">
      <c r="A623" s="7" t="s">
        <v>20</v>
      </c>
      <c r="B623" s="7" t="s">
        <v>405</v>
      </c>
      <c r="C623" s="7" t="s">
        <v>128</v>
      </c>
      <c r="D623" s="7" t="s">
        <v>434</v>
      </c>
      <c r="E623" s="7" t="s">
        <v>503</v>
      </c>
      <c r="F623" s="7" t="s">
        <v>426</v>
      </c>
      <c r="G623" s="7" t="s">
        <v>102</v>
      </c>
      <c r="T623" s="7" t="str">
        <f aca="false">_xlfn.TEXTJOIN( , ,B623,C623)</f>
        <v>machine_room_v4Spot Cam - PTZ - 31 spot-cam-ptz.jpg</v>
      </c>
    </row>
    <row r="624" s="7" customFormat="true" ht="15.75" hidden="true" customHeight="true" outlineLevel="0" collapsed="false">
      <c r="A624" s="7" t="s">
        <v>20</v>
      </c>
      <c r="B624" s="7" t="s">
        <v>405</v>
      </c>
      <c r="C624" s="7" t="s">
        <v>128</v>
      </c>
      <c r="D624" s="7" t="s">
        <v>434</v>
      </c>
      <c r="E624" s="7" t="s">
        <v>503</v>
      </c>
      <c r="F624" s="7" t="s">
        <v>426</v>
      </c>
      <c r="G624" s="7" t="s">
        <v>102</v>
      </c>
      <c r="T624" s="7" t="str">
        <f aca="false">_xlfn.TEXTJOIN( , ,B624,C624)</f>
        <v>machine_room_v4Spot Cam - PTZ - 31 spot-cam-ptz.jpg</v>
      </c>
    </row>
    <row r="625" s="7" customFormat="true" ht="15.75" hidden="true" customHeight="true" outlineLevel="0" collapsed="false">
      <c r="A625" s="7" t="s">
        <v>20</v>
      </c>
      <c r="B625" s="7" t="s">
        <v>405</v>
      </c>
      <c r="C625" s="7" t="s">
        <v>129</v>
      </c>
      <c r="D625" s="7" t="s">
        <v>504</v>
      </c>
      <c r="E625" s="7" t="s">
        <v>482</v>
      </c>
      <c r="F625" s="7" t="s">
        <v>483</v>
      </c>
      <c r="G625" s="7" t="s">
        <v>36</v>
      </c>
      <c r="J625" s="7" t="n">
        <v>0</v>
      </c>
      <c r="K625" s="7" t="n">
        <v>1.5</v>
      </c>
      <c r="L625" s="7" t="n">
        <v>0.55</v>
      </c>
      <c r="M625" s="7" t="n">
        <v>0.6</v>
      </c>
      <c r="O625" s="8" t="s">
        <v>462</v>
      </c>
      <c r="P625" s="8" t="s">
        <v>468</v>
      </c>
      <c r="T625" s="7" t="str">
        <f aca="false">_xlfn.TEXTJOIN( , ,B625,C625)</f>
        <v>machine_room_v4Spot Cam - PTZ - 32 spot-cam-ptz.jpg</v>
      </c>
    </row>
    <row r="626" s="7" customFormat="true" ht="15.75" hidden="true" customHeight="true" outlineLevel="0" collapsed="false">
      <c r="A626" s="7" t="s">
        <v>20</v>
      </c>
      <c r="B626" s="7" t="s">
        <v>405</v>
      </c>
      <c r="C626" s="7" t="s">
        <v>129</v>
      </c>
      <c r="D626" s="7" t="s">
        <v>504</v>
      </c>
      <c r="E626" s="7" t="s">
        <v>424</v>
      </c>
      <c r="F626" s="10" t="s">
        <v>349</v>
      </c>
      <c r="G626" s="7" t="s">
        <v>350</v>
      </c>
      <c r="O626" s="8" t="s">
        <v>462</v>
      </c>
      <c r="P626" s="8" t="s">
        <v>463</v>
      </c>
      <c r="T626" s="7" t="str">
        <f aca="false">_xlfn.TEXTJOIN( , ,B626,C626)</f>
        <v>machine_room_v4Spot Cam - PTZ - 32 spot-cam-ptz.jpg</v>
      </c>
    </row>
    <row r="627" s="7" customFormat="true" ht="15.75" hidden="true" customHeight="true" outlineLevel="0" collapsed="false">
      <c r="A627" s="7" t="s">
        <v>20</v>
      </c>
      <c r="B627" s="7" t="s">
        <v>405</v>
      </c>
      <c r="C627" s="7" t="s">
        <v>129</v>
      </c>
      <c r="D627" s="7" t="s">
        <v>504</v>
      </c>
      <c r="E627" s="7" t="s">
        <v>482</v>
      </c>
      <c r="F627" s="7" t="s">
        <v>426</v>
      </c>
      <c r="G627" s="7" t="s">
        <v>102</v>
      </c>
      <c r="O627" s="8" t="s">
        <v>462</v>
      </c>
      <c r="P627" s="8" t="s">
        <v>463</v>
      </c>
      <c r="T627" s="7" t="str">
        <f aca="false">_xlfn.TEXTJOIN( , ,B627,C627)</f>
        <v>machine_room_v4Spot Cam - PTZ - 32 spot-cam-ptz.jpg</v>
      </c>
    </row>
    <row r="628" s="7" customFormat="true" ht="15.75" hidden="true" customHeight="true" outlineLevel="0" collapsed="false">
      <c r="A628" s="7" t="s">
        <v>20</v>
      </c>
      <c r="B628" s="7" t="s">
        <v>405</v>
      </c>
      <c r="C628" s="7" t="s">
        <v>131</v>
      </c>
      <c r="D628" s="7" t="s">
        <v>461</v>
      </c>
      <c r="E628" s="7" t="s">
        <v>424</v>
      </c>
      <c r="F628" s="10" t="s">
        <v>349</v>
      </c>
      <c r="G628" s="7" t="s">
        <v>350</v>
      </c>
      <c r="O628" s="8" t="s">
        <v>462</v>
      </c>
      <c r="P628" s="8" t="s">
        <v>463</v>
      </c>
      <c r="T628" s="7" t="str">
        <f aca="false">_xlfn.TEXTJOIN( , ,B628,C628)</f>
        <v>machine_room_v4Spot Cam - PTZ - 33 spot-cam-ptz.jpg</v>
      </c>
    </row>
    <row r="629" s="7" customFormat="true" ht="15.75" hidden="true" customHeight="true" outlineLevel="0" collapsed="false">
      <c r="A629" s="7" t="s">
        <v>20</v>
      </c>
      <c r="B629" s="7" t="s">
        <v>405</v>
      </c>
      <c r="C629" s="7" t="s">
        <v>131</v>
      </c>
      <c r="D629" s="7" t="s">
        <v>461</v>
      </c>
      <c r="F629" s="7" t="s">
        <v>426</v>
      </c>
      <c r="G629" s="7" t="s">
        <v>102</v>
      </c>
      <c r="O629" s="8" t="s">
        <v>462</v>
      </c>
      <c r="P629" s="8" t="s">
        <v>463</v>
      </c>
      <c r="T629" s="7" t="str">
        <f aca="false">_xlfn.TEXTJOIN( , ,B629,C629)</f>
        <v>machine_room_v4Spot Cam - PTZ - 33 spot-cam-ptz.jpg</v>
      </c>
    </row>
    <row r="630" s="7" customFormat="true" ht="15.75" hidden="true" customHeight="true" outlineLevel="0" collapsed="false">
      <c r="A630" s="7" t="s">
        <v>20</v>
      </c>
      <c r="B630" s="7" t="s">
        <v>405</v>
      </c>
      <c r="C630" s="7" t="s">
        <v>131</v>
      </c>
      <c r="D630" s="7" t="s">
        <v>461</v>
      </c>
      <c r="F630" s="7" t="s">
        <v>426</v>
      </c>
      <c r="G630" s="7" t="s">
        <v>102</v>
      </c>
      <c r="O630" s="8" t="s">
        <v>462</v>
      </c>
      <c r="P630" s="8" t="s">
        <v>463</v>
      </c>
      <c r="T630" s="7" t="str">
        <f aca="false">_xlfn.TEXTJOIN( , ,B630,C630)</f>
        <v>machine_room_v4Spot Cam - PTZ - 33 spot-cam-ptz.jpg</v>
      </c>
    </row>
    <row r="631" s="7" customFormat="true" ht="15.75" hidden="true" customHeight="true" outlineLevel="0" collapsed="false">
      <c r="A631" s="7" t="s">
        <v>20</v>
      </c>
      <c r="B631" s="7" t="s">
        <v>405</v>
      </c>
      <c r="C631" s="7" t="s">
        <v>131</v>
      </c>
      <c r="D631" s="7" t="s">
        <v>461</v>
      </c>
      <c r="F631" s="7" t="s">
        <v>426</v>
      </c>
      <c r="G631" s="7" t="s">
        <v>102</v>
      </c>
      <c r="O631" s="8" t="s">
        <v>462</v>
      </c>
      <c r="P631" s="8" t="s">
        <v>463</v>
      </c>
      <c r="T631" s="7" t="str">
        <f aca="false">_xlfn.TEXTJOIN( , ,B631,C631)</f>
        <v>machine_room_v4Spot Cam - PTZ - 33 spot-cam-ptz.jpg</v>
      </c>
    </row>
    <row r="632" s="7" customFormat="true" ht="15.75" hidden="false" customHeight="true" outlineLevel="0" collapsed="false">
      <c r="A632" s="7" t="s">
        <v>20</v>
      </c>
      <c r="B632" s="7" t="s">
        <v>405</v>
      </c>
      <c r="C632" s="7" t="s">
        <v>138</v>
      </c>
      <c r="D632" s="7" t="s">
        <v>504</v>
      </c>
      <c r="E632" s="7" t="s">
        <v>484</v>
      </c>
      <c r="F632" s="7" t="s">
        <v>485</v>
      </c>
      <c r="G632" s="7" t="s">
        <v>44</v>
      </c>
      <c r="O632" s="8" t="s">
        <v>462</v>
      </c>
      <c r="P632" s="8" t="s">
        <v>486</v>
      </c>
      <c r="S632" s="11" t="s">
        <v>487</v>
      </c>
      <c r="T632" s="7" t="str">
        <f aca="false">_xlfn.TEXTJOIN( , ,B632,C632)</f>
        <v>machine_room_v4Spot Cam - PTZ - 34 spot-cam-ptz.jpg</v>
      </c>
    </row>
    <row r="633" s="7" customFormat="true" ht="15.75" hidden="true" customHeight="true" outlineLevel="0" collapsed="false">
      <c r="A633" s="7" t="s">
        <v>20</v>
      </c>
      <c r="B633" s="7" t="s">
        <v>405</v>
      </c>
      <c r="C633" s="7" t="s">
        <v>140</v>
      </c>
      <c r="D633" s="7" t="s">
        <v>461</v>
      </c>
      <c r="E633" s="7" t="s">
        <v>443</v>
      </c>
      <c r="F633" s="10" t="s">
        <v>349</v>
      </c>
      <c r="G633" s="7" t="s">
        <v>350</v>
      </c>
      <c r="O633" s="8" t="s">
        <v>462</v>
      </c>
      <c r="P633" s="8" t="s">
        <v>463</v>
      </c>
      <c r="T633" s="7" t="str">
        <f aca="false">_xlfn.TEXTJOIN( , ,B633,C633)</f>
        <v>machine_room_v4Spot Cam - PTZ - 35 spot-cam-ptz.jpg</v>
      </c>
    </row>
    <row r="634" s="7" customFormat="true" ht="15.75" hidden="true" customHeight="true" outlineLevel="0" collapsed="false">
      <c r="A634" s="7" t="s">
        <v>20</v>
      </c>
      <c r="B634" s="7" t="s">
        <v>405</v>
      </c>
      <c r="C634" s="7" t="s">
        <v>140</v>
      </c>
      <c r="D634" s="7" t="s">
        <v>461</v>
      </c>
      <c r="E634" s="7" t="s">
        <v>490</v>
      </c>
      <c r="F634" s="10" t="s">
        <v>349</v>
      </c>
      <c r="G634" s="7" t="s">
        <v>470</v>
      </c>
      <c r="O634" s="8" t="s">
        <v>462</v>
      </c>
      <c r="P634" s="8" t="s">
        <v>505</v>
      </c>
      <c r="T634" s="7" t="str">
        <f aca="false">_xlfn.TEXTJOIN( , ,B634,C634)</f>
        <v>machine_room_v4Spot Cam - PTZ - 35 spot-cam-ptz.jpg</v>
      </c>
    </row>
    <row r="635" s="7" customFormat="true" ht="15.75" hidden="true" customHeight="true" outlineLevel="0" collapsed="false">
      <c r="A635" s="7" t="s">
        <v>20</v>
      </c>
      <c r="B635" s="7" t="s">
        <v>405</v>
      </c>
      <c r="C635" s="7" t="s">
        <v>140</v>
      </c>
      <c r="D635" s="7" t="s">
        <v>461</v>
      </c>
      <c r="E635" s="7" t="s">
        <v>420</v>
      </c>
      <c r="F635" s="7" t="s">
        <v>426</v>
      </c>
      <c r="G635" s="7" t="s">
        <v>102</v>
      </c>
      <c r="O635" s="8" t="s">
        <v>462</v>
      </c>
      <c r="P635" s="8" t="s">
        <v>463</v>
      </c>
      <c r="T635" s="7" t="str">
        <f aca="false">_xlfn.TEXTJOIN( , ,B635,C635)</f>
        <v>machine_room_v4Spot Cam - PTZ - 35 spot-cam-ptz.jpg</v>
      </c>
    </row>
    <row r="636" s="7" customFormat="true" ht="15.75" hidden="true" customHeight="true" outlineLevel="0" collapsed="false">
      <c r="A636" s="7" t="s">
        <v>20</v>
      </c>
      <c r="B636" s="7" t="s">
        <v>405</v>
      </c>
      <c r="C636" s="7" t="s">
        <v>140</v>
      </c>
      <c r="D636" s="7" t="s">
        <v>461</v>
      </c>
      <c r="E636" s="7" t="s">
        <v>419</v>
      </c>
      <c r="F636" s="7" t="s">
        <v>426</v>
      </c>
      <c r="G636" s="7" t="s">
        <v>102</v>
      </c>
      <c r="O636" s="8" t="s">
        <v>462</v>
      </c>
      <c r="P636" s="8" t="s">
        <v>463</v>
      </c>
      <c r="T636" s="7" t="str">
        <f aca="false">_xlfn.TEXTJOIN( , ,B636,C636)</f>
        <v>machine_room_v4Spot Cam - PTZ - 35 spot-cam-ptz.jpg</v>
      </c>
    </row>
    <row r="637" s="7" customFormat="true" ht="15.75" hidden="true" customHeight="true" outlineLevel="0" collapsed="false">
      <c r="A637" s="7" t="s">
        <v>20</v>
      </c>
      <c r="B637" s="7" t="s">
        <v>405</v>
      </c>
      <c r="C637" s="7" t="s">
        <v>141</v>
      </c>
      <c r="D637" s="7" t="s">
        <v>475</v>
      </c>
      <c r="E637" s="7" t="s">
        <v>476</v>
      </c>
      <c r="F637" s="10" t="s">
        <v>477</v>
      </c>
      <c r="G637" s="7" t="s">
        <v>478</v>
      </c>
      <c r="O637" s="8" t="s">
        <v>479</v>
      </c>
      <c r="P637" s="8" t="s">
        <v>480</v>
      </c>
      <c r="T637" s="7" t="str">
        <f aca="false">_xlfn.TEXTJOIN( , ,B637,C637)</f>
        <v>machine_room_v4Spot Cam - PTZ - 36 spot-cam-ptz.jpg</v>
      </c>
    </row>
    <row r="638" s="7" customFormat="true" ht="15.75" hidden="true" customHeight="true" outlineLevel="0" collapsed="false">
      <c r="A638" s="7" t="s">
        <v>20</v>
      </c>
      <c r="B638" s="7" t="s">
        <v>405</v>
      </c>
      <c r="C638" s="7" t="s">
        <v>146</v>
      </c>
      <c r="D638" s="7" t="s">
        <v>506</v>
      </c>
      <c r="E638" s="10" t="s">
        <v>413</v>
      </c>
      <c r="F638" s="7" t="s">
        <v>414</v>
      </c>
      <c r="G638" s="7" t="s">
        <v>36</v>
      </c>
      <c r="J638" s="7" t="n">
        <v>0</v>
      </c>
      <c r="K638" s="7" t="n">
        <v>1.5</v>
      </c>
      <c r="L638" s="7" t="n">
        <v>0.6</v>
      </c>
      <c r="M638" s="7" t="n">
        <v>0.7</v>
      </c>
      <c r="N638" s="7" t="s">
        <v>415</v>
      </c>
      <c r="O638" s="8" t="s">
        <v>451</v>
      </c>
      <c r="P638" s="8" t="s">
        <v>507</v>
      </c>
      <c r="T638" s="7" t="str">
        <f aca="false">_xlfn.TEXTJOIN( , ,B638,C638)</f>
        <v>machine_room_v4Spot Cam - PTZ - 37 spot-cam-ptz.jpg</v>
      </c>
    </row>
    <row r="639" s="7" customFormat="true" ht="15.75" hidden="true" customHeight="true" outlineLevel="0" collapsed="false">
      <c r="A639" s="7" t="s">
        <v>20</v>
      </c>
      <c r="B639" s="7" t="s">
        <v>405</v>
      </c>
      <c r="C639" s="7" t="s">
        <v>146</v>
      </c>
      <c r="D639" s="7" t="s">
        <v>506</v>
      </c>
      <c r="E639" s="7" t="s">
        <v>419</v>
      </c>
      <c r="F639" s="7" t="s">
        <v>414</v>
      </c>
      <c r="G639" s="7" t="s">
        <v>36</v>
      </c>
      <c r="J639" s="7" t="n">
        <v>0</v>
      </c>
      <c r="K639" s="7" t="n">
        <v>1.5</v>
      </c>
      <c r="L639" s="7" t="n">
        <v>0.6</v>
      </c>
      <c r="M639" s="7" t="n">
        <v>0.7</v>
      </c>
      <c r="N639" s="7" t="s">
        <v>415</v>
      </c>
      <c r="O639" s="8" t="s">
        <v>451</v>
      </c>
      <c r="P639" s="8" t="s">
        <v>507</v>
      </c>
      <c r="T639" s="7" t="str">
        <f aca="false">_xlfn.TEXTJOIN( , ,B639,C639)</f>
        <v>machine_room_v4Spot Cam - PTZ - 37 spot-cam-ptz.jpg</v>
      </c>
    </row>
    <row r="640" s="7" customFormat="true" ht="15.75" hidden="true" customHeight="true" outlineLevel="0" collapsed="false">
      <c r="A640" s="7" t="s">
        <v>20</v>
      </c>
      <c r="B640" s="7" t="s">
        <v>405</v>
      </c>
      <c r="C640" s="7" t="s">
        <v>146</v>
      </c>
      <c r="D640" s="7" t="s">
        <v>506</v>
      </c>
      <c r="E640" s="10" t="s">
        <v>420</v>
      </c>
      <c r="F640" s="7" t="s">
        <v>414</v>
      </c>
      <c r="G640" s="7" t="s">
        <v>36</v>
      </c>
      <c r="J640" s="7" t="n">
        <v>0</v>
      </c>
      <c r="K640" s="7" t="n">
        <v>1.5</v>
      </c>
      <c r="L640" s="7" t="n">
        <v>0.6</v>
      </c>
      <c r="M640" s="7" t="n">
        <v>0.7</v>
      </c>
      <c r="N640" s="7" t="s">
        <v>415</v>
      </c>
      <c r="O640" s="8" t="s">
        <v>451</v>
      </c>
      <c r="P640" s="8" t="s">
        <v>507</v>
      </c>
      <c r="T640" s="7" t="str">
        <f aca="false">_xlfn.TEXTJOIN( , ,B640,C640)</f>
        <v>machine_room_v4Spot Cam - PTZ - 37 spot-cam-ptz.jpg</v>
      </c>
    </row>
    <row r="641" s="7" customFormat="true" ht="15.75" hidden="true" customHeight="true" outlineLevel="0" collapsed="false">
      <c r="A641" s="7" t="s">
        <v>20</v>
      </c>
      <c r="B641" s="7" t="s">
        <v>405</v>
      </c>
      <c r="C641" s="7" t="s">
        <v>146</v>
      </c>
      <c r="D641" s="7" t="s">
        <v>506</v>
      </c>
      <c r="E641" s="10" t="s">
        <v>413</v>
      </c>
      <c r="F641" s="7" t="s">
        <v>421</v>
      </c>
      <c r="G641" s="7" t="s">
        <v>36</v>
      </c>
      <c r="J641" s="7" t="n">
        <v>0</v>
      </c>
      <c r="K641" s="7" t="n">
        <v>100</v>
      </c>
      <c r="L641" s="7" t="n">
        <v>15</v>
      </c>
      <c r="M641" s="7" t="n">
        <v>25</v>
      </c>
      <c r="N641" s="7" t="s">
        <v>422</v>
      </c>
      <c r="O641" s="8" t="s">
        <v>451</v>
      </c>
      <c r="P641" s="8" t="s">
        <v>508</v>
      </c>
      <c r="T641" s="7" t="str">
        <f aca="false">_xlfn.TEXTJOIN( , ,B641,C641)</f>
        <v>machine_room_v4Spot Cam - PTZ - 37 spot-cam-ptz.jpg</v>
      </c>
    </row>
    <row r="642" s="7" customFormat="true" ht="15.75" hidden="true" customHeight="true" outlineLevel="0" collapsed="false">
      <c r="A642" s="7" t="s">
        <v>20</v>
      </c>
      <c r="B642" s="7" t="s">
        <v>405</v>
      </c>
      <c r="C642" s="7" t="s">
        <v>146</v>
      </c>
      <c r="D642" s="7" t="s">
        <v>506</v>
      </c>
      <c r="E642" s="7" t="s">
        <v>419</v>
      </c>
      <c r="F642" s="7" t="s">
        <v>421</v>
      </c>
      <c r="G642" s="7" t="s">
        <v>36</v>
      </c>
      <c r="J642" s="7" t="n">
        <v>0</v>
      </c>
      <c r="K642" s="7" t="n">
        <v>100</v>
      </c>
      <c r="L642" s="7" t="n">
        <v>15</v>
      </c>
      <c r="M642" s="7" t="n">
        <v>25</v>
      </c>
      <c r="N642" s="7" t="s">
        <v>422</v>
      </c>
      <c r="O642" s="8" t="s">
        <v>451</v>
      </c>
      <c r="P642" s="8" t="s">
        <v>508</v>
      </c>
      <c r="T642" s="7" t="str">
        <f aca="false">_xlfn.TEXTJOIN( , ,B642,C642)</f>
        <v>machine_room_v4Spot Cam - PTZ - 37 spot-cam-ptz.jpg</v>
      </c>
    </row>
    <row r="643" s="7" customFormat="true" ht="15.75" hidden="true" customHeight="true" outlineLevel="0" collapsed="false">
      <c r="A643" s="7" t="s">
        <v>20</v>
      </c>
      <c r="B643" s="7" t="s">
        <v>405</v>
      </c>
      <c r="C643" s="7" t="s">
        <v>146</v>
      </c>
      <c r="D643" s="7" t="s">
        <v>506</v>
      </c>
      <c r="E643" s="10" t="s">
        <v>420</v>
      </c>
      <c r="F643" s="7" t="s">
        <v>421</v>
      </c>
      <c r="G643" s="7" t="s">
        <v>36</v>
      </c>
      <c r="J643" s="7" t="n">
        <v>0</v>
      </c>
      <c r="K643" s="7" t="n">
        <v>100</v>
      </c>
      <c r="L643" s="7" t="n">
        <v>15</v>
      </c>
      <c r="M643" s="7" t="n">
        <v>25</v>
      </c>
      <c r="N643" s="7" t="s">
        <v>422</v>
      </c>
      <c r="O643" s="8" t="s">
        <v>451</v>
      </c>
      <c r="P643" s="8" t="s">
        <v>508</v>
      </c>
      <c r="T643" s="7" t="str">
        <f aca="false">_xlfn.TEXTJOIN( , ,B643,C643)</f>
        <v>machine_room_v4Spot Cam - PTZ - 37 spot-cam-ptz.jpg</v>
      </c>
    </row>
    <row r="644" s="7" customFormat="true" ht="15.75" hidden="true" customHeight="true" outlineLevel="0" collapsed="false">
      <c r="A644" s="7" t="s">
        <v>20</v>
      </c>
      <c r="B644" s="7" t="s">
        <v>405</v>
      </c>
      <c r="C644" s="7" t="s">
        <v>146</v>
      </c>
      <c r="D644" s="7" t="s">
        <v>506</v>
      </c>
      <c r="E644" s="7" t="s">
        <v>443</v>
      </c>
      <c r="F644" s="10" t="s">
        <v>349</v>
      </c>
      <c r="G644" s="7" t="s">
        <v>350</v>
      </c>
      <c r="O644" s="8" t="s">
        <v>451</v>
      </c>
      <c r="P644" s="8" t="s">
        <v>425</v>
      </c>
      <c r="T644" s="7" t="str">
        <f aca="false">_xlfn.TEXTJOIN( , ,B644,C644)</f>
        <v>machine_room_v4Spot Cam - PTZ - 37 spot-cam-ptz.jpg</v>
      </c>
    </row>
    <row r="645" s="7" customFormat="true" ht="15.75" hidden="true" customHeight="true" outlineLevel="0" collapsed="false">
      <c r="A645" s="7" t="s">
        <v>20</v>
      </c>
      <c r="B645" s="7" t="s">
        <v>405</v>
      </c>
      <c r="C645" s="7" t="s">
        <v>146</v>
      </c>
      <c r="D645" s="7" t="s">
        <v>506</v>
      </c>
      <c r="E645" s="10" t="s">
        <v>413</v>
      </c>
      <c r="F645" s="7" t="s">
        <v>426</v>
      </c>
      <c r="G645" s="7" t="s">
        <v>102</v>
      </c>
      <c r="T645" s="7" t="str">
        <f aca="false">_xlfn.TEXTJOIN( , ,B645,C645)</f>
        <v>machine_room_v4Spot Cam - PTZ - 37 spot-cam-ptz.jpg</v>
      </c>
    </row>
    <row r="646" s="7" customFormat="true" ht="15.75" hidden="true" customHeight="true" outlineLevel="0" collapsed="false">
      <c r="A646" s="7" t="s">
        <v>20</v>
      </c>
      <c r="B646" s="7" t="s">
        <v>405</v>
      </c>
      <c r="C646" s="7" t="s">
        <v>146</v>
      </c>
      <c r="D646" s="7" t="s">
        <v>506</v>
      </c>
      <c r="E646" s="10" t="s">
        <v>419</v>
      </c>
      <c r="F646" s="7" t="s">
        <v>426</v>
      </c>
      <c r="G646" s="7" t="s">
        <v>102</v>
      </c>
      <c r="T646" s="7" t="str">
        <f aca="false">_xlfn.TEXTJOIN( , ,B646,C646)</f>
        <v>machine_room_v4Spot Cam - PTZ - 37 spot-cam-ptz.jpg</v>
      </c>
    </row>
    <row r="647" s="7" customFormat="true" ht="15.75" hidden="true" customHeight="true" outlineLevel="0" collapsed="false">
      <c r="A647" s="7" t="s">
        <v>20</v>
      </c>
      <c r="B647" s="7" t="s">
        <v>405</v>
      </c>
      <c r="C647" s="7" t="s">
        <v>146</v>
      </c>
      <c r="D647" s="7" t="s">
        <v>506</v>
      </c>
      <c r="E647" s="10" t="s">
        <v>420</v>
      </c>
      <c r="F647" s="7" t="s">
        <v>426</v>
      </c>
      <c r="G647" s="7" t="s">
        <v>102</v>
      </c>
      <c r="T647" s="7" t="str">
        <f aca="false">_xlfn.TEXTJOIN( , ,B647,C647)</f>
        <v>machine_room_v4Spot Cam - PTZ - 37 spot-cam-ptz.jpg</v>
      </c>
    </row>
    <row r="648" s="7" customFormat="true" ht="15.75" hidden="false" customHeight="true" outlineLevel="0" collapsed="false">
      <c r="A648" s="7" t="s">
        <v>20</v>
      </c>
      <c r="B648" s="7" t="s">
        <v>405</v>
      </c>
      <c r="C648" s="7" t="s">
        <v>149</v>
      </c>
      <c r="D648" s="10" t="s">
        <v>509</v>
      </c>
      <c r="E648" s="7" t="s">
        <v>510</v>
      </c>
      <c r="F648" s="7" t="s">
        <v>511</v>
      </c>
      <c r="G648" s="7" t="s">
        <v>44</v>
      </c>
      <c r="J648" s="7" t="n">
        <v>0</v>
      </c>
      <c r="K648" s="7" t="n">
        <v>0</v>
      </c>
      <c r="L648" s="7" t="n">
        <v>0</v>
      </c>
      <c r="M648" s="7" t="n">
        <v>0</v>
      </c>
      <c r="N648" s="7" t="s">
        <v>512</v>
      </c>
      <c r="O648" s="7" t="s">
        <v>513</v>
      </c>
      <c r="P648" s="8" t="s">
        <v>514</v>
      </c>
      <c r="S648" s="11" t="s">
        <v>515</v>
      </c>
      <c r="T648" s="7" t="str">
        <f aca="false">_xlfn.TEXTJOIN( , ,B648,C648)</f>
        <v>machine_room_v4Spot Cam - PTZ - 38 spot-cam-ptz.jpg</v>
      </c>
    </row>
    <row r="649" s="7" customFormat="true" ht="15.75" hidden="false" customHeight="true" outlineLevel="0" collapsed="false">
      <c r="A649" s="7" t="s">
        <v>20</v>
      </c>
      <c r="B649" s="7" t="s">
        <v>405</v>
      </c>
      <c r="C649" s="7" t="s">
        <v>149</v>
      </c>
      <c r="D649" s="10" t="s">
        <v>509</v>
      </c>
      <c r="E649" s="7" t="s">
        <v>516</v>
      </c>
      <c r="F649" s="7" t="s">
        <v>511</v>
      </c>
      <c r="G649" s="7" t="s">
        <v>44</v>
      </c>
      <c r="J649" s="7" t="n">
        <v>0</v>
      </c>
      <c r="L649" s="7" t="n">
        <v>5.8</v>
      </c>
      <c r="M649" s="7" t="n">
        <v>6.4</v>
      </c>
      <c r="N649" s="7" t="s">
        <v>517</v>
      </c>
      <c r="O649" s="7" t="s">
        <v>513</v>
      </c>
      <c r="P649" s="8" t="s">
        <v>514</v>
      </c>
      <c r="S649" s="11" t="s">
        <v>515</v>
      </c>
      <c r="T649" s="7" t="str">
        <f aca="false">_xlfn.TEXTJOIN( , ,B649,C649)</f>
        <v>machine_room_v4Spot Cam - PTZ - 38 spot-cam-ptz.jpg</v>
      </c>
    </row>
    <row r="650" s="7" customFormat="true" ht="15.75" hidden="false" customHeight="true" outlineLevel="0" collapsed="false">
      <c r="A650" s="7" t="s">
        <v>20</v>
      </c>
      <c r="B650" s="7" t="s">
        <v>405</v>
      </c>
      <c r="C650" s="7" t="s">
        <v>149</v>
      </c>
      <c r="D650" s="10" t="s">
        <v>509</v>
      </c>
      <c r="E650" s="7" t="s">
        <v>518</v>
      </c>
      <c r="F650" s="7" t="s">
        <v>511</v>
      </c>
      <c r="G650" s="7" t="s">
        <v>44</v>
      </c>
      <c r="J650" s="7" t="n">
        <v>0</v>
      </c>
      <c r="L650" s="7" t="n">
        <v>5.1</v>
      </c>
      <c r="M650" s="7" t="n">
        <v>6.2</v>
      </c>
      <c r="N650" s="7" t="s">
        <v>519</v>
      </c>
      <c r="O650" s="7" t="s">
        <v>513</v>
      </c>
      <c r="P650" s="8" t="s">
        <v>514</v>
      </c>
      <c r="S650" s="11" t="s">
        <v>515</v>
      </c>
      <c r="T650" s="7" t="str">
        <f aca="false">_xlfn.TEXTJOIN( , ,B650,C650)</f>
        <v>machine_room_v4Spot Cam - PTZ - 38 spot-cam-ptz.jpg</v>
      </c>
    </row>
    <row r="651" s="7" customFormat="true" ht="15.75" hidden="false" customHeight="true" outlineLevel="0" collapsed="false">
      <c r="A651" s="7" t="s">
        <v>20</v>
      </c>
      <c r="B651" s="7" t="s">
        <v>405</v>
      </c>
      <c r="C651" s="7" t="s">
        <v>149</v>
      </c>
      <c r="D651" s="10" t="s">
        <v>509</v>
      </c>
      <c r="E651" s="7" t="s">
        <v>520</v>
      </c>
      <c r="F651" s="7" t="s">
        <v>511</v>
      </c>
      <c r="G651" s="7" t="s">
        <v>44</v>
      </c>
      <c r="J651" s="7" t="n">
        <v>0</v>
      </c>
      <c r="K651" s="7" t="n">
        <v>0</v>
      </c>
      <c r="L651" s="7" t="n">
        <v>0</v>
      </c>
      <c r="M651" s="7" t="n">
        <v>0</v>
      </c>
      <c r="N651" s="7" t="s">
        <v>512</v>
      </c>
      <c r="O651" s="7" t="s">
        <v>513</v>
      </c>
      <c r="P651" s="8" t="s">
        <v>514</v>
      </c>
      <c r="S651" s="11" t="s">
        <v>515</v>
      </c>
      <c r="T651" s="7" t="str">
        <f aca="false">_xlfn.TEXTJOIN( , ,B651,C651)</f>
        <v>machine_room_v4Spot Cam - PTZ - 38 spot-cam-ptz.jpg</v>
      </c>
    </row>
    <row r="652" s="7" customFormat="true" ht="15.75" hidden="false" customHeight="true" outlineLevel="0" collapsed="false">
      <c r="A652" s="7" t="s">
        <v>20</v>
      </c>
      <c r="B652" s="7" t="s">
        <v>405</v>
      </c>
      <c r="C652" s="7" t="s">
        <v>149</v>
      </c>
      <c r="D652" s="10" t="s">
        <v>509</v>
      </c>
      <c r="E652" s="7" t="s">
        <v>521</v>
      </c>
      <c r="F652" s="7" t="s">
        <v>511</v>
      </c>
      <c r="G652" s="7" t="s">
        <v>44</v>
      </c>
      <c r="J652" s="7" t="n">
        <v>0</v>
      </c>
      <c r="L652" s="7" t="n">
        <v>5.7</v>
      </c>
      <c r="M652" s="7" t="n">
        <v>6.3</v>
      </c>
      <c r="N652" s="7" t="s">
        <v>522</v>
      </c>
      <c r="O652" s="7" t="s">
        <v>513</v>
      </c>
      <c r="P652" s="8" t="s">
        <v>514</v>
      </c>
      <c r="S652" s="11" t="s">
        <v>515</v>
      </c>
      <c r="T652" s="7" t="str">
        <f aca="false">_xlfn.TEXTJOIN( , ,B652,C652)</f>
        <v>machine_room_v4Spot Cam - PTZ - 38 spot-cam-ptz.jpg</v>
      </c>
    </row>
    <row r="653" s="7" customFormat="true" ht="15.75" hidden="false" customHeight="true" outlineLevel="0" collapsed="false">
      <c r="A653" s="7" t="s">
        <v>20</v>
      </c>
      <c r="B653" s="7" t="s">
        <v>405</v>
      </c>
      <c r="C653" s="7" t="s">
        <v>149</v>
      </c>
      <c r="D653" s="10" t="s">
        <v>523</v>
      </c>
      <c r="E653" s="7" t="s">
        <v>524</v>
      </c>
      <c r="F653" s="7" t="s">
        <v>511</v>
      </c>
      <c r="G653" s="7" t="s">
        <v>44</v>
      </c>
      <c r="J653" s="7" t="n">
        <v>0</v>
      </c>
      <c r="K653" s="7" t="n">
        <v>0</v>
      </c>
      <c r="L653" s="7" t="n">
        <v>0</v>
      </c>
      <c r="M653" s="7" t="n">
        <v>0</v>
      </c>
      <c r="N653" s="7" t="s">
        <v>512</v>
      </c>
      <c r="O653" s="7" t="s">
        <v>525</v>
      </c>
      <c r="P653" s="8" t="s">
        <v>514</v>
      </c>
      <c r="S653" s="11" t="s">
        <v>515</v>
      </c>
      <c r="T653" s="7" t="str">
        <f aca="false">_xlfn.TEXTJOIN( , ,B653,C653)</f>
        <v>machine_room_v4Spot Cam - PTZ - 38 spot-cam-ptz.jpg</v>
      </c>
    </row>
    <row r="654" s="7" customFormat="true" ht="15.75" hidden="true" customHeight="true" outlineLevel="0" collapsed="false">
      <c r="A654" s="7" t="s">
        <v>20</v>
      </c>
      <c r="B654" s="7" t="s">
        <v>405</v>
      </c>
      <c r="C654" s="7" t="s">
        <v>149</v>
      </c>
      <c r="D654" s="10" t="s">
        <v>509</v>
      </c>
      <c r="E654" s="7" t="s">
        <v>510</v>
      </c>
      <c r="F654" s="7" t="s">
        <v>526</v>
      </c>
      <c r="G654" s="7" t="s">
        <v>78</v>
      </c>
      <c r="T654" s="7" t="str">
        <f aca="false">_xlfn.TEXTJOIN( , ,B654,C654)</f>
        <v>machine_room_v4Spot Cam - PTZ - 38 spot-cam-ptz.jpg</v>
      </c>
    </row>
    <row r="655" s="7" customFormat="true" ht="15.75" hidden="true" customHeight="true" outlineLevel="0" collapsed="false">
      <c r="A655" s="7" t="s">
        <v>20</v>
      </c>
      <c r="B655" s="7" t="s">
        <v>405</v>
      </c>
      <c r="C655" s="7" t="s">
        <v>149</v>
      </c>
      <c r="D655" s="10" t="s">
        <v>509</v>
      </c>
      <c r="E655" s="7" t="s">
        <v>516</v>
      </c>
      <c r="F655" s="7" t="s">
        <v>526</v>
      </c>
      <c r="G655" s="7" t="s">
        <v>78</v>
      </c>
      <c r="T655" s="7" t="str">
        <f aca="false">_xlfn.TEXTJOIN( , ,B655,C655)</f>
        <v>machine_room_v4Spot Cam - PTZ - 38 spot-cam-ptz.jpg</v>
      </c>
    </row>
    <row r="656" s="7" customFormat="true" ht="15.75" hidden="true" customHeight="true" outlineLevel="0" collapsed="false">
      <c r="A656" s="7" t="s">
        <v>20</v>
      </c>
      <c r="B656" s="7" t="s">
        <v>405</v>
      </c>
      <c r="C656" s="7" t="s">
        <v>149</v>
      </c>
      <c r="D656" s="10" t="s">
        <v>509</v>
      </c>
      <c r="E656" s="7" t="s">
        <v>518</v>
      </c>
      <c r="F656" s="7" t="s">
        <v>526</v>
      </c>
      <c r="G656" s="7" t="s">
        <v>78</v>
      </c>
      <c r="T656" s="7" t="str">
        <f aca="false">_xlfn.TEXTJOIN( , ,B656,C656)</f>
        <v>machine_room_v4Spot Cam - PTZ - 38 spot-cam-ptz.jpg</v>
      </c>
    </row>
    <row r="657" s="7" customFormat="true" ht="15.75" hidden="true" customHeight="true" outlineLevel="0" collapsed="false">
      <c r="A657" s="7" t="s">
        <v>20</v>
      </c>
      <c r="B657" s="7" t="s">
        <v>405</v>
      </c>
      <c r="C657" s="7" t="s">
        <v>149</v>
      </c>
      <c r="D657" s="10" t="s">
        <v>509</v>
      </c>
      <c r="E657" s="7" t="s">
        <v>520</v>
      </c>
      <c r="F657" s="7" t="s">
        <v>526</v>
      </c>
      <c r="G657" s="7" t="s">
        <v>78</v>
      </c>
      <c r="T657" s="7" t="str">
        <f aca="false">_xlfn.TEXTJOIN( , ,B657,C657)</f>
        <v>machine_room_v4Spot Cam - PTZ - 38 spot-cam-ptz.jpg</v>
      </c>
    </row>
    <row r="658" s="7" customFormat="true" ht="15.75" hidden="true" customHeight="true" outlineLevel="0" collapsed="false">
      <c r="A658" s="7" t="s">
        <v>20</v>
      </c>
      <c r="B658" s="7" t="s">
        <v>405</v>
      </c>
      <c r="C658" s="7" t="s">
        <v>149</v>
      </c>
      <c r="D658" s="10" t="s">
        <v>509</v>
      </c>
      <c r="E658" s="7" t="s">
        <v>521</v>
      </c>
      <c r="F658" s="7" t="s">
        <v>526</v>
      </c>
      <c r="G658" s="7" t="s">
        <v>78</v>
      </c>
      <c r="T658" s="7" t="str">
        <f aca="false">_xlfn.TEXTJOIN( , ,B658,C658)</f>
        <v>machine_room_v4Spot Cam - PTZ - 38 spot-cam-ptz.jpg</v>
      </c>
    </row>
    <row r="659" s="7" customFormat="true" ht="15.75" hidden="true" customHeight="true" outlineLevel="0" collapsed="false">
      <c r="A659" s="7" t="s">
        <v>20</v>
      </c>
      <c r="B659" s="7" t="s">
        <v>405</v>
      </c>
      <c r="C659" s="7" t="s">
        <v>149</v>
      </c>
      <c r="D659" s="10" t="s">
        <v>523</v>
      </c>
      <c r="E659" s="7" t="s">
        <v>524</v>
      </c>
      <c r="F659" s="7" t="s">
        <v>94</v>
      </c>
      <c r="G659" s="7" t="s">
        <v>78</v>
      </c>
      <c r="T659" s="7" t="str">
        <f aca="false">_xlfn.TEXTJOIN( , ,B659,C659)</f>
        <v>machine_room_v4Spot Cam - PTZ - 38 spot-cam-ptz.jpg</v>
      </c>
    </row>
    <row r="660" s="7" customFormat="true" ht="15.75" hidden="true" customHeight="true" outlineLevel="0" collapsed="false">
      <c r="A660" s="7" t="s">
        <v>20</v>
      </c>
      <c r="B660" s="7" t="s">
        <v>405</v>
      </c>
      <c r="C660" s="7" t="s">
        <v>149</v>
      </c>
      <c r="D660" s="10" t="s">
        <v>509</v>
      </c>
      <c r="E660" s="7" t="s">
        <v>92</v>
      </c>
      <c r="F660" s="7" t="s">
        <v>93</v>
      </c>
      <c r="G660" s="7" t="s">
        <v>78</v>
      </c>
      <c r="O660" s="7" t="s">
        <v>513</v>
      </c>
      <c r="P660" s="8" t="s">
        <v>527</v>
      </c>
      <c r="T660" s="7" t="str">
        <f aca="false">_xlfn.TEXTJOIN( , ,B660,C660)</f>
        <v>machine_room_v4Spot Cam - PTZ - 38 spot-cam-ptz.jpg</v>
      </c>
    </row>
    <row r="661" s="7" customFormat="true" ht="15.75" hidden="true" customHeight="true" outlineLevel="0" collapsed="false">
      <c r="A661" s="7" t="s">
        <v>20</v>
      </c>
      <c r="B661" s="7" t="s">
        <v>405</v>
      </c>
      <c r="C661" s="7" t="s">
        <v>149</v>
      </c>
      <c r="D661" s="10" t="s">
        <v>523</v>
      </c>
      <c r="E661" s="7" t="s">
        <v>92</v>
      </c>
      <c r="F661" s="7" t="s">
        <v>93</v>
      </c>
      <c r="G661" s="7" t="s">
        <v>78</v>
      </c>
      <c r="O661" s="7" t="s">
        <v>528</v>
      </c>
      <c r="P661" s="8" t="s">
        <v>527</v>
      </c>
      <c r="T661" s="7" t="str">
        <f aca="false">_xlfn.TEXTJOIN( , ,B661,C661)</f>
        <v>machine_room_v4Spot Cam - PTZ - 38 spot-cam-ptz.jpg</v>
      </c>
    </row>
    <row r="662" s="7" customFormat="true" ht="15.75" hidden="true" customHeight="true" outlineLevel="0" collapsed="false">
      <c r="A662" s="7" t="s">
        <v>20</v>
      </c>
      <c r="B662" s="7" t="s">
        <v>405</v>
      </c>
      <c r="C662" s="7" t="s">
        <v>149</v>
      </c>
      <c r="D662" s="10" t="s">
        <v>509</v>
      </c>
      <c r="E662" s="7" t="s">
        <v>510</v>
      </c>
      <c r="F662" s="7" t="s">
        <v>529</v>
      </c>
      <c r="G662" s="7" t="s">
        <v>78</v>
      </c>
      <c r="T662" s="7" t="str">
        <f aca="false">_xlfn.TEXTJOIN( , ,B662,C662)</f>
        <v>machine_room_v4Spot Cam - PTZ - 38 spot-cam-ptz.jpg</v>
      </c>
    </row>
    <row r="663" s="7" customFormat="true" ht="15.75" hidden="true" customHeight="true" outlineLevel="0" collapsed="false">
      <c r="A663" s="7" t="s">
        <v>20</v>
      </c>
      <c r="B663" s="7" t="s">
        <v>405</v>
      </c>
      <c r="C663" s="7" t="s">
        <v>149</v>
      </c>
      <c r="D663" s="10" t="s">
        <v>509</v>
      </c>
      <c r="E663" s="7" t="s">
        <v>516</v>
      </c>
      <c r="F663" s="7" t="s">
        <v>529</v>
      </c>
      <c r="G663" s="7" t="s">
        <v>78</v>
      </c>
      <c r="T663" s="7" t="str">
        <f aca="false">_xlfn.TEXTJOIN( , ,B663,C663)</f>
        <v>machine_room_v4Spot Cam - PTZ - 38 spot-cam-ptz.jpg</v>
      </c>
    </row>
    <row r="664" s="7" customFormat="true" ht="15.75" hidden="true" customHeight="true" outlineLevel="0" collapsed="false">
      <c r="A664" s="7" t="s">
        <v>20</v>
      </c>
      <c r="B664" s="7" t="s">
        <v>405</v>
      </c>
      <c r="C664" s="7" t="s">
        <v>149</v>
      </c>
      <c r="D664" s="10" t="s">
        <v>509</v>
      </c>
      <c r="E664" s="7" t="s">
        <v>518</v>
      </c>
      <c r="F664" s="7" t="s">
        <v>529</v>
      </c>
      <c r="G664" s="7" t="s">
        <v>78</v>
      </c>
      <c r="T664" s="7" t="str">
        <f aca="false">_xlfn.TEXTJOIN( , ,B664,C664)</f>
        <v>machine_room_v4Spot Cam - PTZ - 38 spot-cam-ptz.jpg</v>
      </c>
    </row>
    <row r="665" s="7" customFormat="true" ht="15.75" hidden="true" customHeight="true" outlineLevel="0" collapsed="false">
      <c r="A665" s="7" t="s">
        <v>20</v>
      </c>
      <c r="B665" s="7" t="s">
        <v>405</v>
      </c>
      <c r="C665" s="7" t="s">
        <v>149</v>
      </c>
      <c r="D665" s="10" t="s">
        <v>509</v>
      </c>
      <c r="E665" s="7" t="s">
        <v>520</v>
      </c>
      <c r="F665" s="7" t="s">
        <v>529</v>
      </c>
      <c r="G665" s="7" t="s">
        <v>78</v>
      </c>
      <c r="T665" s="7" t="str">
        <f aca="false">_xlfn.TEXTJOIN( , ,B665,C665)</f>
        <v>machine_room_v4Spot Cam - PTZ - 38 spot-cam-ptz.jpg</v>
      </c>
    </row>
    <row r="666" s="7" customFormat="true" ht="15.75" hidden="true" customHeight="true" outlineLevel="0" collapsed="false">
      <c r="A666" s="7" t="s">
        <v>20</v>
      </c>
      <c r="B666" s="7" t="s">
        <v>405</v>
      </c>
      <c r="C666" s="7" t="s">
        <v>149</v>
      </c>
      <c r="D666" s="10" t="s">
        <v>509</v>
      </c>
      <c r="E666" s="7" t="s">
        <v>521</v>
      </c>
      <c r="F666" s="7" t="s">
        <v>529</v>
      </c>
      <c r="G666" s="7" t="s">
        <v>78</v>
      </c>
      <c r="T666" s="7" t="str">
        <f aca="false">_xlfn.TEXTJOIN( , ,B666,C666)</f>
        <v>machine_room_v4Spot Cam - PTZ - 38 spot-cam-ptz.jpg</v>
      </c>
    </row>
    <row r="667" s="7" customFormat="true" ht="15.75" hidden="true" customHeight="true" outlineLevel="0" collapsed="false">
      <c r="A667" s="7" t="s">
        <v>20</v>
      </c>
      <c r="B667" s="7" t="s">
        <v>405</v>
      </c>
      <c r="C667" s="7" t="s">
        <v>149</v>
      </c>
      <c r="D667" s="10" t="s">
        <v>509</v>
      </c>
      <c r="E667" s="7" t="s">
        <v>530</v>
      </c>
      <c r="F667" s="7" t="s">
        <v>88</v>
      </c>
      <c r="G667" s="7" t="s">
        <v>78</v>
      </c>
      <c r="T667" s="7" t="str">
        <f aca="false">_xlfn.TEXTJOIN( , ,B667,C667)</f>
        <v>machine_room_v4Spot Cam - PTZ - 38 spot-cam-ptz.jpg</v>
      </c>
    </row>
    <row r="668" s="7" customFormat="true" ht="15.75" hidden="true" customHeight="true" outlineLevel="0" collapsed="false">
      <c r="A668" s="7" t="s">
        <v>20</v>
      </c>
      <c r="B668" s="7" t="s">
        <v>405</v>
      </c>
      <c r="C668" s="7" t="s">
        <v>149</v>
      </c>
      <c r="D668" s="10" t="s">
        <v>509</v>
      </c>
      <c r="E668" s="7" t="s">
        <v>531</v>
      </c>
      <c r="F668" s="7" t="s">
        <v>88</v>
      </c>
      <c r="G668" s="7" t="s">
        <v>78</v>
      </c>
      <c r="T668" s="7" t="str">
        <f aca="false">_xlfn.TEXTJOIN( , ,B668,C668)</f>
        <v>machine_room_v4Spot Cam - PTZ - 38 spot-cam-ptz.jpg</v>
      </c>
    </row>
    <row r="669" s="7" customFormat="true" ht="15.75" hidden="true" customHeight="true" outlineLevel="0" collapsed="false">
      <c r="A669" s="7" t="s">
        <v>20</v>
      </c>
      <c r="B669" s="7" t="s">
        <v>405</v>
      </c>
      <c r="C669" s="7" t="s">
        <v>149</v>
      </c>
      <c r="D669" s="10" t="s">
        <v>523</v>
      </c>
      <c r="E669" s="7" t="s">
        <v>524</v>
      </c>
      <c r="F669" s="7" t="s">
        <v>95</v>
      </c>
      <c r="G669" s="7" t="s">
        <v>78</v>
      </c>
      <c r="T669" s="7" t="str">
        <f aca="false">_xlfn.TEXTJOIN( , ,B669,C669)</f>
        <v>machine_room_v4Spot Cam - PTZ - 38 spot-cam-ptz.jpg</v>
      </c>
    </row>
    <row r="670" s="7" customFormat="true" ht="15.75" hidden="true" customHeight="true" outlineLevel="0" collapsed="false">
      <c r="A670" s="7" t="s">
        <v>20</v>
      </c>
      <c r="B670" s="7" t="s">
        <v>405</v>
      </c>
      <c r="C670" s="7" t="s">
        <v>149</v>
      </c>
      <c r="D670" s="10" t="s">
        <v>509</v>
      </c>
      <c r="E670" s="7" t="s">
        <v>510</v>
      </c>
      <c r="F670" s="7" t="s">
        <v>373</v>
      </c>
      <c r="G670" s="7" t="s">
        <v>78</v>
      </c>
      <c r="T670" s="7" t="str">
        <f aca="false">_xlfn.TEXTJOIN( , ,B670,C670)</f>
        <v>machine_room_v4Spot Cam - PTZ - 38 spot-cam-ptz.jpg</v>
      </c>
    </row>
    <row r="671" s="7" customFormat="true" ht="15.75" hidden="true" customHeight="true" outlineLevel="0" collapsed="false">
      <c r="A671" s="7" t="s">
        <v>20</v>
      </c>
      <c r="B671" s="7" t="s">
        <v>405</v>
      </c>
      <c r="C671" s="7" t="s">
        <v>149</v>
      </c>
      <c r="D671" s="10" t="s">
        <v>509</v>
      </c>
      <c r="E671" s="7" t="s">
        <v>516</v>
      </c>
      <c r="F671" s="7" t="s">
        <v>373</v>
      </c>
      <c r="G671" s="7" t="s">
        <v>78</v>
      </c>
      <c r="T671" s="7" t="str">
        <f aca="false">_xlfn.TEXTJOIN( , ,B671,C671)</f>
        <v>machine_room_v4Spot Cam - PTZ - 38 spot-cam-ptz.jpg</v>
      </c>
    </row>
    <row r="672" s="7" customFormat="true" ht="15.75" hidden="true" customHeight="true" outlineLevel="0" collapsed="false">
      <c r="A672" s="7" t="s">
        <v>20</v>
      </c>
      <c r="B672" s="7" t="s">
        <v>405</v>
      </c>
      <c r="C672" s="7" t="s">
        <v>149</v>
      </c>
      <c r="D672" s="10" t="s">
        <v>509</v>
      </c>
      <c r="E672" s="7" t="s">
        <v>518</v>
      </c>
      <c r="F672" s="7" t="s">
        <v>373</v>
      </c>
      <c r="G672" s="7" t="s">
        <v>78</v>
      </c>
      <c r="T672" s="7" t="str">
        <f aca="false">_xlfn.TEXTJOIN( , ,B672,C672)</f>
        <v>machine_room_v4Spot Cam - PTZ - 38 spot-cam-ptz.jpg</v>
      </c>
    </row>
    <row r="673" s="7" customFormat="true" ht="15.75" hidden="true" customHeight="true" outlineLevel="0" collapsed="false">
      <c r="A673" s="7" t="s">
        <v>20</v>
      </c>
      <c r="B673" s="7" t="s">
        <v>405</v>
      </c>
      <c r="C673" s="7" t="s">
        <v>149</v>
      </c>
      <c r="D673" s="10" t="s">
        <v>509</v>
      </c>
      <c r="E673" s="7" t="s">
        <v>520</v>
      </c>
      <c r="F673" s="7" t="s">
        <v>373</v>
      </c>
      <c r="G673" s="7" t="s">
        <v>78</v>
      </c>
      <c r="T673" s="7" t="str">
        <f aca="false">_xlfn.TEXTJOIN( , ,B673,C673)</f>
        <v>machine_room_v4Spot Cam - PTZ - 38 spot-cam-ptz.jpg</v>
      </c>
    </row>
    <row r="674" s="7" customFormat="true" ht="15.75" hidden="true" customHeight="true" outlineLevel="0" collapsed="false">
      <c r="A674" s="7" t="s">
        <v>20</v>
      </c>
      <c r="B674" s="7" t="s">
        <v>405</v>
      </c>
      <c r="C674" s="7" t="s">
        <v>149</v>
      </c>
      <c r="D674" s="10" t="s">
        <v>509</v>
      </c>
      <c r="E674" s="7" t="s">
        <v>521</v>
      </c>
      <c r="F674" s="7" t="s">
        <v>373</v>
      </c>
      <c r="G674" s="7" t="s">
        <v>78</v>
      </c>
      <c r="T674" s="7" t="str">
        <f aca="false">_xlfn.TEXTJOIN( , ,B674,C674)</f>
        <v>machine_room_v4Spot Cam - PTZ - 38 spot-cam-ptz.jpg</v>
      </c>
    </row>
    <row r="675" s="7" customFormat="true" ht="15.75" hidden="true" customHeight="true" outlineLevel="0" collapsed="false">
      <c r="A675" s="7" t="s">
        <v>20</v>
      </c>
      <c r="B675" s="7" t="s">
        <v>405</v>
      </c>
      <c r="C675" s="7" t="s">
        <v>149</v>
      </c>
      <c r="D675" s="10" t="s">
        <v>523</v>
      </c>
      <c r="E675" s="7" t="s">
        <v>524</v>
      </c>
      <c r="F675" s="7" t="s">
        <v>373</v>
      </c>
      <c r="G675" s="7" t="s">
        <v>78</v>
      </c>
      <c r="T675" s="7" t="str">
        <f aca="false">_xlfn.TEXTJOIN( , ,B675,C675)</f>
        <v>machine_room_v4Spot Cam - PTZ - 38 spot-cam-ptz.jpg</v>
      </c>
    </row>
    <row r="676" s="7" customFormat="true" ht="15.75" hidden="true" customHeight="true" outlineLevel="0" collapsed="false">
      <c r="A676" s="7" t="s">
        <v>20</v>
      </c>
      <c r="B676" s="7" t="s">
        <v>405</v>
      </c>
      <c r="C676" s="7" t="s">
        <v>149</v>
      </c>
      <c r="D676" s="10" t="s">
        <v>509</v>
      </c>
      <c r="E676" s="7" t="s">
        <v>510</v>
      </c>
      <c r="F676" s="7" t="s">
        <v>161</v>
      </c>
      <c r="G676" s="7" t="s">
        <v>102</v>
      </c>
      <c r="T676" s="7" t="str">
        <f aca="false">_xlfn.TEXTJOIN( , ,B676,C676)</f>
        <v>machine_room_v4Spot Cam - PTZ - 38 spot-cam-ptz.jpg</v>
      </c>
    </row>
    <row r="677" s="7" customFormat="true" ht="15.75" hidden="true" customHeight="true" outlineLevel="0" collapsed="false">
      <c r="A677" s="7" t="s">
        <v>20</v>
      </c>
      <c r="B677" s="7" t="s">
        <v>405</v>
      </c>
      <c r="C677" s="7" t="s">
        <v>149</v>
      </c>
      <c r="D677" s="10" t="s">
        <v>509</v>
      </c>
      <c r="E677" s="7" t="s">
        <v>516</v>
      </c>
      <c r="F677" s="7" t="s">
        <v>161</v>
      </c>
      <c r="G677" s="7" t="s">
        <v>102</v>
      </c>
      <c r="T677" s="7" t="str">
        <f aca="false">_xlfn.TEXTJOIN( , ,B677,C677)</f>
        <v>machine_room_v4Spot Cam - PTZ - 38 spot-cam-ptz.jpg</v>
      </c>
    </row>
    <row r="678" s="7" customFormat="true" ht="15.75" hidden="true" customHeight="true" outlineLevel="0" collapsed="false">
      <c r="A678" s="7" t="s">
        <v>20</v>
      </c>
      <c r="B678" s="7" t="s">
        <v>405</v>
      </c>
      <c r="C678" s="7" t="s">
        <v>149</v>
      </c>
      <c r="D678" s="10" t="s">
        <v>509</v>
      </c>
      <c r="E678" s="7" t="s">
        <v>518</v>
      </c>
      <c r="F678" s="7" t="s">
        <v>161</v>
      </c>
      <c r="G678" s="7" t="s">
        <v>102</v>
      </c>
      <c r="T678" s="7" t="str">
        <f aca="false">_xlfn.TEXTJOIN( , ,B678,C678)</f>
        <v>machine_room_v4Spot Cam - PTZ - 38 spot-cam-ptz.jpg</v>
      </c>
    </row>
    <row r="679" s="7" customFormat="true" ht="15.75" hidden="true" customHeight="true" outlineLevel="0" collapsed="false">
      <c r="A679" s="7" t="s">
        <v>20</v>
      </c>
      <c r="B679" s="7" t="s">
        <v>405</v>
      </c>
      <c r="C679" s="7" t="s">
        <v>149</v>
      </c>
      <c r="D679" s="10" t="s">
        <v>509</v>
      </c>
      <c r="E679" s="7" t="s">
        <v>520</v>
      </c>
      <c r="F679" s="7" t="s">
        <v>161</v>
      </c>
      <c r="G679" s="7" t="s">
        <v>102</v>
      </c>
      <c r="T679" s="7" t="str">
        <f aca="false">_xlfn.TEXTJOIN( , ,B679,C679)</f>
        <v>machine_room_v4Spot Cam - PTZ - 38 spot-cam-ptz.jpg</v>
      </c>
    </row>
    <row r="680" s="7" customFormat="true" ht="15.75" hidden="true" customHeight="true" outlineLevel="0" collapsed="false">
      <c r="A680" s="7" t="s">
        <v>20</v>
      </c>
      <c r="B680" s="7" t="s">
        <v>405</v>
      </c>
      <c r="C680" s="7" t="s">
        <v>149</v>
      </c>
      <c r="D680" s="10" t="s">
        <v>509</v>
      </c>
      <c r="E680" s="7" t="s">
        <v>521</v>
      </c>
      <c r="F680" s="7" t="s">
        <v>161</v>
      </c>
      <c r="G680" s="7" t="s">
        <v>102</v>
      </c>
      <c r="T680" s="7" t="str">
        <f aca="false">_xlfn.TEXTJOIN( , ,B680,C680)</f>
        <v>machine_room_v4Spot Cam - PTZ - 38 spot-cam-ptz.jpg</v>
      </c>
    </row>
    <row r="681" s="7" customFormat="true" ht="15.75" hidden="true" customHeight="true" outlineLevel="0" collapsed="false">
      <c r="A681" s="7" t="s">
        <v>20</v>
      </c>
      <c r="B681" s="7" t="s">
        <v>405</v>
      </c>
      <c r="C681" s="7" t="s">
        <v>149</v>
      </c>
      <c r="D681" s="10" t="s">
        <v>523</v>
      </c>
      <c r="E681" s="7" t="s">
        <v>524</v>
      </c>
      <c r="F681" s="7" t="s">
        <v>161</v>
      </c>
      <c r="G681" s="7" t="s">
        <v>102</v>
      </c>
      <c r="T681" s="7" t="str">
        <f aca="false">_xlfn.TEXTJOIN( , ,B681,C681)</f>
        <v>machine_room_v4Spot Cam - PTZ - 38 spot-cam-ptz.jpg</v>
      </c>
    </row>
    <row r="682" s="7" customFormat="true" ht="15.75" hidden="true" customHeight="true" outlineLevel="0" collapsed="false">
      <c r="A682" s="7" t="s">
        <v>20</v>
      </c>
      <c r="B682" s="7" t="s">
        <v>405</v>
      </c>
      <c r="C682" s="7" t="s">
        <v>149</v>
      </c>
      <c r="D682" s="10" t="s">
        <v>509</v>
      </c>
      <c r="E682" s="7" t="s">
        <v>530</v>
      </c>
      <c r="F682" s="7" t="s">
        <v>532</v>
      </c>
      <c r="G682" s="7" t="s">
        <v>102</v>
      </c>
      <c r="T682" s="7" t="str">
        <f aca="false">_xlfn.TEXTJOIN( , ,B682,C682)</f>
        <v>machine_room_v4Spot Cam - PTZ - 38 spot-cam-ptz.jpg</v>
      </c>
    </row>
    <row r="683" s="7" customFormat="true" ht="15.75" hidden="true" customHeight="true" outlineLevel="0" collapsed="false">
      <c r="A683" s="7" t="s">
        <v>20</v>
      </c>
      <c r="B683" s="7" t="s">
        <v>405</v>
      </c>
      <c r="C683" s="7" t="s">
        <v>149</v>
      </c>
      <c r="D683" s="10" t="s">
        <v>509</v>
      </c>
      <c r="E683" s="7" t="s">
        <v>531</v>
      </c>
      <c r="F683" s="7" t="s">
        <v>532</v>
      </c>
      <c r="G683" s="7" t="s">
        <v>102</v>
      </c>
      <c r="T683" s="7" t="str">
        <f aca="false">_xlfn.TEXTJOIN( , ,B683,C683)</f>
        <v>machine_room_v4Spot Cam - PTZ - 38 spot-cam-ptz.jpg</v>
      </c>
    </row>
    <row r="684" s="7" customFormat="true" ht="15.75" hidden="true" customHeight="true" outlineLevel="0" collapsed="false">
      <c r="A684" s="7" t="s">
        <v>20</v>
      </c>
      <c r="B684" s="7" t="s">
        <v>405</v>
      </c>
      <c r="C684" s="7" t="s">
        <v>149</v>
      </c>
      <c r="D684" s="10" t="s">
        <v>509</v>
      </c>
      <c r="E684" s="7" t="s">
        <v>533</v>
      </c>
      <c r="F684" s="7" t="s">
        <v>532</v>
      </c>
      <c r="G684" s="7" t="s">
        <v>102</v>
      </c>
      <c r="T684" s="7" t="str">
        <f aca="false">_xlfn.TEXTJOIN( , ,B684,C684)</f>
        <v>machine_room_v4Spot Cam - PTZ - 38 spot-cam-ptz.jpg</v>
      </c>
    </row>
    <row r="685" s="7" customFormat="true" ht="15.75" hidden="true" customHeight="true" outlineLevel="0" collapsed="false">
      <c r="A685" s="7" t="s">
        <v>20</v>
      </c>
      <c r="B685" s="7" t="s">
        <v>405</v>
      </c>
      <c r="C685" s="7" t="s">
        <v>149</v>
      </c>
      <c r="D685" s="10" t="s">
        <v>509</v>
      </c>
      <c r="E685" s="10" t="s">
        <v>510</v>
      </c>
      <c r="F685" s="7" t="s">
        <v>532</v>
      </c>
      <c r="G685" s="7" t="s">
        <v>102</v>
      </c>
      <c r="T685" s="7" t="str">
        <f aca="false">_xlfn.TEXTJOIN( , ,B685,C685)</f>
        <v>machine_room_v4Spot Cam - PTZ - 38 spot-cam-ptz.jpg</v>
      </c>
    </row>
    <row r="686" s="7" customFormat="true" ht="15.75" hidden="true" customHeight="true" outlineLevel="0" collapsed="false">
      <c r="A686" s="7" t="s">
        <v>20</v>
      </c>
      <c r="B686" s="7" t="s">
        <v>405</v>
      </c>
      <c r="C686" s="7" t="s">
        <v>149</v>
      </c>
      <c r="D686" s="10" t="s">
        <v>509</v>
      </c>
      <c r="E686" s="7" t="s">
        <v>516</v>
      </c>
      <c r="F686" s="7" t="s">
        <v>532</v>
      </c>
      <c r="G686" s="7" t="s">
        <v>102</v>
      </c>
      <c r="T686" s="7" t="str">
        <f aca="false">_xlfn.TEXTJOIN( , ,B686,C686)</f>
        <v>machine_room_v4Spot Cam - PTZ - 38 spot-cam-ptz.jpg</v>
      </c>
    </row>
    <row r="687" s="7" customFormat="true" ht="15.75" hidden="true" customHeight="true" outlineLevel="0" collapsed="false">
      <c r="A687" s="7" t="s">
        <v>20</v>
      </c>
      <c r="B687" s="7" t="s">
        <v>405</v>
      </c>
      <c r="C687" s="7" t="s">
        <v>149</v>
      </c>
      <c r="D687" s="10" t="s">
        <v>509</v>
      </c>
      <c r="E687" s="7" t="s">
        <v>518</v>
      </c>
      <c r="F687" s="7" t="s">
        <v>532</v>
      </c>
      <c r="G687" s="7" t="s">
        <v>102</v>
      </c>
      <c r="T687" s="7" t="str">
        <f aca="false">_xlfn.TEXTJOIN( , ,B687,C687)</f>
        <v>machine_room_v4Spot Cam - PTZ - 38 spot-cam-ptz.jpg</v>
      </c>
    </row>
    <row r="688" s="7" customFormat="true" ht="15.75" hidden="true" customHeight="true" outlineLevel="0" collapsed="false">
      <c r="A688" s="7" t="s">
        <v>20</v>
      </c>
      <c r="B688" s="7" t="s">
        <v>405</v>
      </c>
      <c r="C688" s="7" t="s">
        <v>149</v>
      </c>
      <c r="D688" s="10" t="s">
        <v>509</v>
      </c>
      <c r="E688" s="10" t="s">
        <v>520</v>
      </c>
      <c r="F688" s="7" t="s">
        <v>532</v>
      </c>
      <c r="G688" s="7" t="s">
        <v>102</v>
      </c>
      <c r="T688" s="7" t="str">
        <f aca="false">_xlfn.TEXTJOIN( , ,B688,C688)</f>
        <v>machine_room_v4Spot Cam - PTZ - 38 spot-cam-ptz.jpg</v>
      </c>
    </row>
    <row r="689" s="7" customFormat="true" ht="15.75" hidden="true" customHeight="true" outlineLevel="0" collapsed="false">
      <c r="A689" s="7" t="s">
        <v>20</v>
      </c>
      <c r="B689" s="7" t="s">
        <v>405</v>
      </c>
      <c r="C689" s="7" t="s">
        <v>149</v>
      </c>
      <c r="D689" s="10" t="s">
        <v>509</v>
      </c>
      <c r="E689" s="10" t="s">
        <v>521</v>
      </c>
      <c r="F689" s="7" t="s">
        <v>532</v>
      </c>
      <c r="G689" s="7" t="s">
        <v>102</v>
      </c>
      <c r="T689" s="7" t="str">
        <f aca="false">_xlfn.TEXTJOIN( , ,B689,C689)</f>
        <v>machine_room_v4Spot Cam - PTZ - 38 spot-cam-ptz.jpg</v>
      </c>
    </row>
    <row r="690" s="7" customFormat="true" ht="15.75" hidden="true" customHeight="true" outlineLevel="0" collapsed="false">
      <c r="A690" s="7" t="s">
        <v>20</v>
      </c>
      <c r="B690" s="7" t="s">
        <v>405</v>
      </c>
      <c r="C690" s="7" t="s">
        <v>149</v>
      </c>
      <c r="D690" s="10" t="s">
        <v>523</v>
      </c>
      <c r="E690" s="7" t="s">
        <v>524</v>
      </c>
      <c r="F690" s="7" t="s">
        <v>532</v>
      </c>
      <c r="G690" s="7" t="s">
        <v>102</v>
      </c>
      <c r="T690" s="7" t="str">
        <f aca="false">_xlfn.TEXTJOIN( , ,B690,C690)</f>
        <v>machine_room_v4Spot Cam - PTZ - 38 spot-cam-ptz.jpg</v>
      </c>
    </row>
    <row r="691" s="7" customFormat="true" ht="15.75" hidden="false" customHeight="true" outlineLevel="0" collapsed="false">
      <c r="A691" s="7" t="s">
        <v>20</v>
      </c>
      <c r="B691" s="7" t="s">
        <v>405</v>
      </c>
      <c r="C691" s="7" t="s">
        <v>155</v>
      </c>
      <c r="D691" s="10" t="s">
        <v>509</v>
      </c>
      <c r="E691" s="7" t="s">
        <v>534</v>
      </c>
      <c r="F691" s="7" t="s">
        <v>511</v>
      </c>
      <c r="G691" s="7" t="s">
        <v>44</v>
      </c>
      <c r="J691" s="7" t="s">
        <v>535</v>
      </c>
      <c r="K691" s="7" t="s">
        <v>535</v>
      </c>
      <c r="L691" s="7" t="s">
        <v>535</v>
      </c>
      <c r="M691" s="7" t="s">
        <v>535</v>
      </c>
      <c r="N691" s="7" t="s">
        <v>535</v>
      </c>
      <c r="O691" s="7" t="s">
        <v>513</v>
      </c>
      <c r="P691" s="8" t="s">
        <v>514</v>
      </c>
      <c r="S691" s="11" t="s">
        <v>515</v>
      </c>
      <c r="T691" s="7" t="str">
        <f aca="false">_xlfn.TEXTJOIN( , ,B691,C691)</f>
        <v>machine_room_v4Spot Cam - PTZ - 39 spot-cam-ptz.jpg</v>
      </c>
    </row>
    <row r="692" s="7" customFormat="true" ht="15.75" hidden="false" customHeight="true" outlineLevel="0" collapsed="false">
      <c r="A692" s="7" t="s">
        <v>20</v>
      </c>
      <c r="B692" s="7" t="s">
        <v>405</v>
      </c>
      <c r="C692" s="7" t="s">
        <v>155</v>
      </c>
      <c r="D692" s="10" t="s">
        <v>523</v>
      </c>
      <c r="E692" s="7" t="s">
        <v>536</v>
      </c>
      <c r="F692" s="7" t="s">
        <v>511</v>
      </c>
      <c r="G692" s="7" t="s">
        <v>44</v>
      </c>
      <c r="J692" s="7" t="n">
        <v>0</v>
      </c>
      <c r="K692" s="7" t="n">
        <v>0</v>
      </c>
      <c r="L692" s="7" t="n">
        <v>0</v>
      </c>
      <c r="M692" s="7" t="n">
        <v>0</v>
      </c>
      <c r="N692" s="7" t="s">
        <v>512</v>
      </c>
      <c r="O692" s="7" t="s">
        <v>525</v>
      </c>
      <c r="P692" s="8" t="s">
        <v>514</v>
      </c>
      <c r="S692" s="11" t="s">
        <v>515</v>
      </c>
      <c r="T692" s="7" t="str">
        <f aca="false">_xlfn.TEXTJOIN( , ,B692,C692)</f>
        <v>machine_room_v4Spot Cam - PTZ - 39 spot-cam-ptz.jpg</v>
      </c>
    </row>
    <row r="693" s="7" customFormat="true" ht="15.75" hidden="false" customHeight="true" outlineLevel="0" collapsed="false">
      <c r="A693" s="7" t="s">
        <v>20</v>
      </c>
      <c r="B693" s="7" t="s">
        <v>405</v>
      </c>
      <c r="C693" s="7" t="s">
        <v>155</v>
      </c>
      <c r="D693" s="10" t="s">
        <v>523</v>
      </c>
      <c r="E693" s="7" t="s">
        <v>537</v>
      </c>
      <c r="F693" s="7" t="s">
        <v>511</v>
      </c>
      <c r="G693" s="7" t="s">
        <v>44</v>
      </c>
      <c r="J693" s="7" t="n">
        <v>0</v>
      </c>
      <c r="K693" s="7" t="n">
        <v>0</v>
      </c>
      <c r="L693" s="7" t="n">
        <v>0</v>
      </c>
      <c r="M693" s="7" t="n">
        <v>0</v>
      </c>
      <c r="N693" s="7" t="s">
        <v>512</v>
      </c>
      <c r="O693" s="7" t="s">
        <v>525</v>
      </c>
      <c r="P693" s="8" t="s">
        <v>514</v>
      </c>
      <c r="S693" s="11" t="s">
        <v>515</v>
      </c>
      <c r="T693" s="7" t="str">
        <f aca="false">_xlfn.TEXTJOIN( , ,B693,C693)</f>
        <v>machine_room_v4Spot Cam - PTZ - 39 spot-cam-ptz.jpg</v>
      </c>
    </row>
    <row r="694" s="7" customFormat="true" ht="15.75" hidden="true" customHeight="true" outlineLevel="0" collapsed="false">
      <c r="A694" s="7" t="s">
        <v>20</v>
      </c>
      <c r="B694" s="7" t="s">
        <v>405</v>
      </c>
      <c r="C694" s="7" t="s">
        <v>155</v>
      </c>
      <c r="D694" s="10" t="s">
        <v>509</v>
      </c>
      <c r="E694" s="7" t="s">
        <v>534</v>
      </c>
      <c r="F694" s="7" t="s">
        <v>526</v>
      </c>
      <c r="G694" s="7" t="s">
        <v>78</v>
      </c>
      <c r="T694" s="7" t="str">
        <f aca="false">_xlfn.TEXTJOIN( , ,B694,C694)</f>
        <v>machine_room_v4Spot Cam - PTZ - 39 spot-cam-ptz.jpg</v>
      </c>
    </row>
    <row r="695" s="7" customFormat="true" ht="15.75" hidden="true" customHeight="true" outlineLevel="0" collapsed="false">
      <c r="A695" s="7" t="s">
        <v>20</v>
      </c>
      <c r="B695" s="7" t="s">
        <v>405</v>
      </c>
      <c r="C695" s="7" t="s">
        <v>155</v>
      </c>
      <c r="D695" s="10" t="s">
        <v>523</v>
      </c>
      <c r="E695" s="7" t="s">
        <v>536</v>
      </c>
      <c r="F695" s="7" t="s">
        <v>94</v>
      </c>
      <c r="G695" s="7" t="s">
        <v>78</v>
      </c>
      <c r="T695" s="7" t="str">
        <f aca="false">_xlfn.TEXTJOIN( , ,B695,C695)</f>
        <v>machine_room_v4Spot Cam - PTZ - 39 spot-cam-ptz.jpg</v>
      </c>
    </row>
    <row r="696" s="7" customFormat="true" ht="15.75" hidden="true" customHeight="true" outlineLevel="0" collapsed="false">
      <c r="A696" s="7" t="s">
        <v>20</v>
      </c>
      <c r="B696" s="7" t="s">
        <v>405</v>
      </c>
      <c r="C696" s="7" t="s">
        <v>155</v>
      </c>
      <c r="D696" s="10" t="s">
        <v>523</v>
      </c>
      <c r="E696" s="7" t="s">
        <v>537</v>
      </c>
      <c r="F696" s="7" t="s">
        <v>94</v>
      </c>
      <c r="G696" s="7" t="s">
        <v>78</v>
      </c>
      <c r="T696" s="7" t="str">
        <f aca="false">_xlfn.TEXTJOIN( , ,B696,C696)</f>
        <v>machine_room_v4Spot Cam - PTZ - 39 spot-cam-ptz.jpg</v>
      </c>
    </row>
    <row r="697" s="7" customFormat="true" ht="15.75" hidden="true" customHeight="true" outlineLevel="0" collapsed="false">
      <c r="A697" s="7" t="s">
        <v>20</v>
      </c>
      <c r="B697" s="7" t="s">
        <v>405</v>
      </c>
      <c r="C697" s="7" t="s">
        <v>155</v>
      </c>
      <c r="D697" s="10" t="s">
        <v>509</v>
      </c>
      <c r="E697" s="7" t="s">
        <v>534</v>
      </c>
      <c r="F697" s="7" t="s">
        <v>529</v>
      </c>
      <c r="G697" s="7" t="s">
        <v>78</v>
      </c>
      <c r="T697" s="7" t="str">
        <f aca="false">_xlfn.TEXTJOIN( , ,B697,C697)</f>
        <v>machine_room_v4Spot Cam - PTZ - 39 spot-cam-ptz.jpg</v>
      </c>
    </row>
    <row r="698" s="7" customFormat="true" ht="15.75" hidden="true" customHeight="true" outlineLevel="0" collapsed="false">
      <c r="A698" s="7" t="s">
        <v>20</v>
      </c>
      <c r="B698" s="7" t="s">
        <v>405</v>
      </c>
      <c r="C698" s="7" t="s">
        <v>155</v>
      </c>
      <c r="D698" s="10" t="s">
        <v>509</v>
      </c>
      <c r="E698" s="7" t="s">
        <v>533</v>
      </c>
      <c r="F698" s="7" t="s">
        <v>88</v>
      </c>
      <c r="G698" s="7" t="s">
        <v>78</v>
      </c>
      <c r="T698" s="7" t="str">
        <f aca="false">_xlfn.TEXTJOIN( , ,B698,C698)</f>
        <v>machine_room_v4Spot Cam - PTZ - 39 spot-cam-ptz.jpg</v>
      </c>
    </row>
    <row r="699" s="7" customFormat="true" ht="15.75" hidden="true" customHeight="true" outlineLevel="0" collapsed="false">
      <c r="A699" s="7" t="s">
        <v>20</v>
      </c>
      <c r="B699" s="7" t="s">
        <v>405</v>
      </c>
      <c r="C699" s="7" t="s">
        <v>155</v>
      </c>
      <c r="D699" s="10" t="s">
        <v>509</v>
      </c>
      <c r="E699" s="7" t="s">
        <v>538</v>
      </c>
      <c r="F699" s="7" t="s">
        <v>88</v>
      </c>
      <c r="G699" s="7" t="s">
        <v>78</v>
      </c>
      <c r="T699" s="7" t="str">
        <f aca="false">_xlfn.TEXTJOIN( , ,B699,C699)</f>
        <v>machine_room_v4Spot Cam - PTZ - 39 spot-cam-ptz.jpg</v>
      </c>
    </row>
    <row r="700" s="7" customFormat="true" ht="15.75" hidden="true" customHeight="true" outlineLevel="0" collapsed="false">
      <c r="A700" s="7" t="s">
        <v>20</v>
      </c>
      <c r="B700" s="7" t="s">
        <v>405</v>
      </c>
      <c r="C700" s="7" t="s">
        <v>155</v>
      </c>
      <c r="D700" s="10" t="s">
        <v>509</v>
      </c>
      <c r="E700" s="7" t="s">
        <v>539</v>
      </c>
      <c r="F700" s="7" t="s">
        <v>88</v>
      </c>
      <c r="G700" s="7" t="s">
        <v>78</v>
      </c>
      <c r="T700" s="7" t="str">
        <f aca="false">_xlfn.TEXTJOIN( , ,B700,C700)</f>
        <v>machine_room_v4Spot Cam - PTZ - 39 spot-cam-ptz.jpg</v>
      </c>
    </row>
    <row r="701" s="7" customFormat="true" ht="15.75" hidden="true" customHeight="true" outlineLevel="0" collapsed="false">
      <c r="A701" s="7" t="s">
        <v>20</v>
      </c>
      <c r="B701" s="7" t="s">
        <v>405</v>
      </c>
      <c r="C701" s="7" t="s">
        <v>155</v>
      </c>
      <c r="D701" s="10" t="s">
        <v>523</v>
      </c>
      <c r="E701" s="7" t="s">
        <v>537</v>
      </c>
      <c r="F701" s="7" t="s">
        <v>88</v>
      </c>
      <c r="G701" s="7" t="s">
        <v>78</v>
      </c>
      <c r="T701" s="7" t="str">
        <f aca="false">_xlfn.TEXTJOIN( , ,B701,C701)</f>
        <v>machine_room_v4Spot Cam - PTZ - 39 spot-cam-ptz.jpg</v>
      </c>
    </row>
    <row r="702" s="7" customFormat="true" ht="15.75" hidden="true" customHeight="true" outlineLevel="0" collapsed="false">
      <c r="A702" s="7" t="s">
        <v>20</v>
      </c>
      <c r="B702" s="7" t="s">
        <v>405</v>
      </c>
      <c r="C702" s="7" t="s">
        <v>155</v>
      </c>
      <c r="D702" s="10" t="s">
        <v>523</v>
      </c>
      <c r="E702" s="7" t="s">
        <v>536</v>
      </c>
      <c r="F702" s="7" t="s">
        <v>95</v>
      </c>
      <c r="G702" s="7" t="s">
        <v>78</v>
      </c>
      <c r="T702" s="7" t="str">
        <f aca="false">_xlfn.TEXTJOIN( , ,B702,C702)</f>
        <v>machine_room_v4Spot Cam - PTZ - 39 spot-cam-ptz.jpg</v>
      </c>
    </row>
    <row r="703" s="7" customFormat="true" ht="15.75" hidden="true" customHeight="true" outlineLevel="0" collapsed="false">
      <c r="A703" s="7" t="s">
        <v>20</v>
      </c>
      <c r="B703" s="7" t="s">
        <v>405</v>
      </c>
      <c r="C703" s="7" t="s">
        <v>155</v>
      </c>
      <c r="D703" s="10" t="s">
        <v>523</v>
      </c>
      <c r="E703" s="7" t="s">
        <v>534</v>
      </c>
      <c r="F703" s="7" t="s">
        <v>95</v>
      </c>
      <c r="G703" s="7" t="s">
        <v>78</v>
      </c>
      <c r="T703" s="7" t="str">
        <f aca="false">_xlfn.TEXTJOIN( , ,B703,C703)</f>
        <v>machine_room_v4Spot Cam - PTZ - 39 spot-cam-ptz.jpg</v>
      </c>
    </row>
    <row r="704" s="7" customFormat="true" ht="15.75" hidden="true" customHeight="true" outlineLevel="0" collapsed="false">
      <c r="A704" s="7" t="s">
        <v>20</v>
      </c>
      <c r="B704" s="7" t="s">
        <v>405</v>
      </c>
      <c r="C704" s="7" t="s">
        <v>155</v>
      </c>
      <c r="D704" s="10" t="s">
        <v>523</v>
      </c>
      <c r="E704" s="7" t="s">
        <v>537</v>
      </c>
      <c r="F704" s="7" t="s">
        <v>95</v>
      </c>
      <c r="G704" s="7" t="s">
        <v>78</v>
      </c>
      <c r="T704" s="7" t="str">
        <f aca="false">_xlfn.TEXTJOIN( , ,B704,C704)</f>
        <v>machine_room_v4Spot Cam - PTZ - 39 spot-cam-ptz.jpg</v>
      </c>
    </row>
    <row r="705" s="7" customFormat="true" ht="15.75" hidden="true" customHeight="true" outlineLevel="0" collapsed="false">
      <c r="A705" s="7" t="s">
        <v>20</v>
      </c>
      <c r="B705" s="7" t="s">
        <v>405</v>
      </c>
      <c r="C705" s="7" t="s">
        <v>155</v>
      </c>
      <c r="D705" s="10" t="s">
        <v>509</v>
      </c>
      <c r="E705" s="7" t="s">
        <v>534</v>
      </c>
      <c r="F705" s="7" t="s">
        <v>373</v>
      </c>
      <c r="G705" s="7" t="s">
        <v>78</v>
      </c>
      <c r="T705" s="7" t="str">
        <f aca="false">_xlfn.TEXTJOIN( , ,B705,C705)</f>
        <v>machine_room_v4Spot Cam - PTZ - 39 spot-cam-ptz.jpg</v>
      </c>
    </row>
    <row r="706" s="7" customFormat="true" ht="15.75" hidden="true" customHeight="true" outlineLevel="0" collapsed="false">
      <c r="A706" s="7" t="s">
        <v>20</v>
      </c>
      <c r="B706" s="7" t="s">
        <v>405</v>
      </c>
      <c r="C706" s="7" t="s">
        <v>155</v>
      </c>
      <c r="D706" s="10" t="s">
        <v>523</v>
      </c>
      <c r="E706" s="7" t="s">
        <v>536</v>
      </c>
      <c r="F706" s="7" t="s">
        <v>373</v>
      </c>
      <c r="G706" s="7" t="s">
        <v>78</v>
      </c>
      <c r="T706" s="7" t="str">
        <f aca="false">_xlfn.TEXTJOIN( , ,B706,C706)</f>
        <v>machine_room_v4Spot Cam - PTZ - 39 spot-cam-ptz.jpg</v>
      </c>
    </row>
    <row r="707" s="7" customFormat="true" ht="15.75" hidden="true" customHeight="true" outlineLevel="0" collapsed="false">
      <c r="A707" s="7" t="s">
        <v>20</v>
      </c>
      <c r="B707" s="7" t="s">
        <v>405</v>
      </c>
      <c r="C707" s="7" t="s">
        <v>155</v>
      </c>
      <c r="D707" s="10" t="s">
        <v>523</v>
      </c>
      <c r="E707" s="7" t="s">
        <v>537</v>
      </c>
      <c r="F707" s="7" t="s">
        <v>373</v>
      </c>
      <c r="G707" s="7" t="s">
        <v>78</v>
      </c>
      <c r="T707" s="7" t="str">
        <f aca="false">_xlfn.TEXTJOIN( , ,B707,C707)</f>
        <v>machine_room_v4Spot Cam - PTZ - 39 spot-cam-ptz.jpg</v>
      </c>
    </row>
    <row r="708" s="7" customFormat="true" ht="15.75" hidden="true" customHeight="true" outlineLevel="0" collapsed="false">
      <c r="A708" s="7" t="s">
        <v>20</v>
      </c>
      <c r="B708" s="7" t="s">
        <v>405</v>
      </c>
      <c r="C708" s="7" t="s">
        <v>155</v>
      </c>
      <c r="D708" s="10" t="s">
        <v>509</v>
      </c>
      <c r="E708" s="7" t="s">
        <v>534</v>
      </c>
      <c r="F708" s="7" t="s">
        <v>161</v>
      </c>
      <c r="G708" s="7" t="s">
        <v>102</v>
      </c>
      <c r="T708" s="7" t="str">
        <f aca="false">_xlfn.TEXTJOIN( , ,B708,C708)</f>
        <v>machine_room_v4Spot Cam - PTZ - 39 spot-cam-ptz.jpg</v>
      </c>
    </row>
    <row r="709" s="7" customFormat="true" ht="15.75" hidden="true" customHeight="true" outlineLevel="0" collapsed="false">
      <c r="A709" s="7" t="s">
        <v>20</v>
      </c>
      <c r="B709" s="7" t="s">
        <v>405</v>
      </c>
      <c r="C709" s="7" t="s">
        <v>155</v>
      </c>
      <c r="D709" s="10" t="s">
        <v>523</v>
      </c>
      <c r="E709" s="7" t="s">
        <v>536</v>
      </c>
      <c r="F709" s="7" t="s">
        <v>161</v>
      </c>
      <c r="G709" s="7" t="s">
        <v>102</v>
      </c>
      <c r="T709" s="7" t="str">
        <f aca="false">_xlfn.TEXTJOIN( , ,B709,C709)</f>
        <v>machine_room_v4Spot Cam - PTZ - 39 spot-cam-ptz.jpg</v>
      </c>
    </row>
    <row r="710" s="7" customFormat="true" ht="15.75" hidden="true" customHeight="true" outlineLevel="0" collapsed="false">
      <c r="A710" s="7" t="s">
        <v>20</v>
      </c>
      <c r="B710" s="7" t="s">
        <v>405</v>
      </c>
      <c r="C710" s="7" t="s">
        <v>155</v>
      </c>
      <c r="D710" s="10" t="s">
        <v>523</v>
      </c>
      <c r="E710" s="7" t="s">
        <v>537</v>
      </c>
      <c r="F710" s="7" t="s">
        <v>161</v>
      </c>
      <c r="G710" s="7" t="s">
        <v>102</v>
      </c>
      <c r="T710" s="7" t="str">
        <f aca="false">_xlfn.TEXTJOIN( , ,B710,C710)</f>
        <v>machine_room_v4Spot Cam - PTZ - 39 spot-cam-ptz.jpg</v>
      </c>
    </row>
    <row r="711" s="7" customFormat="true" ht="15.75" hidden="true" customHeight="true" outlineLevel="0" collapsed="false">
      <c r="A711" s="7" t="s">
        <v>20</v>
      </c>
      <c r="B711" s="7" t="s">
        <v>405</v>
      </c>
      <c r="C711" s="7" t="s">
        <v>155</v>
      </c>
      <c r="D711" s="10" t="s">
        <v>509</v>
      </c>
      <c r="E711" s="7" t="s">
        <v>538</v>
      </c>
      <c r="F711" s="7" t="s">
        <v>532</v>
      </c>
      <c r="G711" s="7" t="s">
        <v>102</v>
      </c>
      <c r="T711" s="7" t="str">
        <f aca="false">_xlfn.TEXTJOIN( , ,B711,C711)</f>
        <v>machine_room_v4Spot Cam - PTZ - 39 spot-cam-ptz.jpg</v>
      </c>
    </row>
    <row r="712" s="7" customFormat="true" ht="15.75" hidden="true" customHeight="true" outlineLevel="0" collapsed="false">
      <c r="A712" s="7" t="s">
        <v>20</v>
      </c>
      <c r="B712" s="7" t="s">
        <v>405</v>
      </c>
      <c r="C712" s="7" t="s">
        <v>155</v>
      </c>
      <c r="D712" s="10" t="s">
        <v>509</v>
      </c>
      <c r="E712" s="7" t="s">
        <v>534</v>
      </c>
      <c r="F712" s="7" t="s">
        <v>532</v>
      </c>
      <c r="G712" s="7" t="s">
        <v>102</v>
      </c>
      <c r="T712" s="7" t="str">
        <f aca="false">_xlfn.TEXTJOIN( , ,B712,C712)</f>
        <v>machine_room_v4Spot Cam - PTZ - 39 spot-cam-ptz.jpg</v>
      </c>
    </row>
    <row r="713" s="7" customFormat="true" ht="15.75" hidden="true" customHeight="true" outlineLevel="0" collapsed="false">
      <c r="A713" s="7" t="s">
        <v>20</v>
      </c>
      <c r="B713" s="7" t="s">
        <v>405</v>
      </c>
      <c r="C713" s="7" t="s">
        <v>155</v>
      </c>
      <c r="D713" s="10" t="s">
        <v>509</v>
      </c>
      <c r="E713" s="7" t="s">
        <v>539</v>
      </c>
      <c r="F713" s="7" t="s">
        <v>532</v>
      </c>
      <c r="G713" s="7" t="s">
        <v>102</v>
      </c>
      <c r="T713" s="7" t="str">
        <f aca="false">_xlfn.TEXTJOIN( , ,B713,C713)</f>
        <v>machine_room_v4Spot Cam - PTZ - 39 spot-cam-ptz.jpg</v>
      </c>
    </row>
    <row r="714" s="7" customFormat="true" ht="15.75" hidden="true" customHeight="true" outlineLevel="0" collapsed="false">
      <c r="A714" s="7" t="s">
        <v>20</v>
      </c>
      <c r="B714" s="7" t="s">
        <v>405</v>
      </c>
      <c r="C714" s="7" t="s">
        <v>155</v>
      </c>
      <c r="D714" s="10" t="s">
        <v>523</v>
      </c>
      <c r="E714" s="7" t="s">
        <v>536</v>
      </c>
      <c r="F714" s="7" t="s">
        <v>532</v>
      </c>
      <c r="G714" s="7" t="s">
        <v>102</v>
      </c>
      <c r="T714" s="7" t="str">
        <f aca="false">_xlfn.TEXTJOIN( , ,B714,C714)</f>
        <v>machine_room_v4Spot Cam - PTZ - 39 spot-cam-ptz.jpg</v>
      </c>
    </row>
    <row r="715" s="7" customFormat="true" ht="15.75" hidden="true" customHeight="true" outlineLevel="0" collapsed="false">
      <c r="A715" s="7" t="s">
        <v>20</v>
      </c>
      <c r="B715" s="7" t="s">
        <v>405</v>
      </c>
      <c r="C715" s="7" t="s">
        <v>155</v>
      </c>
      <c r="D715" s="10" t="s">
        <v>523</v>
      </c>
      <c r="E715" s="7" t="s">
        <v>537</v>
      </c>
      <c r="F715" s="7" t="s">
        <v>532</v>
      </c>
      <c r="G715" s="7" t="s">
        <v>102</v>
      </c>
      <c r="T715" s="7" t="str">
        <f aca="false">_xlfn.TEXTJOIN( , ,B715,C715)</f>
        <v>machine_room_v4Spot Cam - PTZ - 39 spot-cam-ptz.jpg</v>
      </c>
    </row>
    <row r="716" s="7" customFormat="true" ht="15.75" hidden="true" customHeight="true" outlineLevel="0" collapsed="false">
      <c r="A716" s="7" t="s">
        <v>20</v>
      </c>
      <c r="B716" s="7" t="s">
        <v>405</v>
      </c>
      <c r="C716" s="7" t="s">
        <v>155</v>
      </c>
      <c r="D716" s="10" t="s">
        <v>523</v>
      </c>
      <c r="E716" s="7" t="s">
        <v>537</v>
      </c>
      <c r="F716" s="7" t="s">
        <v>532</v>
      </c>
      <c r="G716" s="7" t="s">
        <v>102</v>
      </c>
      <c r="T716" s="7" t="str">
        <f aca="false">_xlfn.TEXTJOIN( , ,B716,C716)</f>
        <v>machine_room_v4Spot Cam - PTZ - 39 spot-cam-ptz.jpg</v>
      </c>
    </row>
    <row r="717" s="7" customFormat="true" ht="15.75" hidden="true" customHeight="true" outlineLevel="0" collapsed="false">
      <c r="A717" s="7" t="s">
        <v>20</v>
      </c>
      <c r="B717" s="7" t="s">
        <v>405</v>
      </c>
      <c r="C717" s="7" t="s">
        <v>155</v>
      </c>
      <c r="D717" s="10" t="s">
        <v>523</v>
      </c>
      <c r="E717" s="7" t="s">
        <v>534</v>
      </c>
      <c r="F717" s="7" t="s">
        <v>540</v>
      </c>
      <c r="G717" s="7" t="s">
        <v>102</v>
      </c>
      <c r="T717" s="7" t="str">
        <f aca="false">_xlfn.TEXTJOIN( , ,B717,C717)</f>
        <v>machine_room_v4Spot Cam - PTZ - 39 spot-cam-ptz.jpg</v>
      </c>
    </row>
    <row r="718" s="7" customFormat="true" ht="15.75" hidden="true" customHeight="true" outlineLevel="0" collapsed="false">
      <c r="A718" s="7" t="s">
        <v>20</v>
      </c>
      <c r="B718" s="7" t="s">
        <v>405</v>
      </c>
      <c r="C718" s="7" t="s">
        <v>67</v>
      </c>
      <c r="D718" s="7" t="s">
        <v>482</v>
      </c>
      <c r="E718" s="7" t="s">
        <v>541</v>
      </c>
      <c r="F718" s="7" t="s">
        <v>542</v>
      </c>
      <c r="G718" s="7" t="s">
        <v>36</v>
      </c>
      <c r="J718" s="7" t="n">
        <v>0</v>
      </c>
      <c r="K718" s="7" t="n">
        <v>1</v>
      </c>
      <c r="L718" s="7" t="n">
        <v>0.12</v>
      </c>
      <c r="M718" s="7" t="n">
        <v>0.16</v>
      </c>
      <c r="N718" s="7" t="s">
        <v>543</v>
      </c>
      <c r="O718" s="8" t="s">
        <v>462</v>
      </c>
      <c r="P718" s="8" t="s">
        <v>544</v>
      </c>
      <c r="Q718" s="8" t="s">
        <v>545</v>
      </c>
      <c r="T718" s="7" t="str">
        <f aca="false">_xlfn.TEXTJOIN( , ,B718,C718)</f>
        <v>machine_room_v4Spot Cam - PTZ - 4 spot-cam-ptz.jpg</v>
      </c>
    </row>
    <row r="719" s="7" customFormat="true" ht="15.75" hidden="true" customHeight="true" outlineLevel="0" collapsed="false">
      <c r="A719" s="7" t="s">
        <v>20</v>
      </c>
      <c r="B719" s="7" t="s">
        <v>405</v>
      </c>
      <c r="C719" s="7" t="s">
        <v>67</v>
      </c>
      <c r="D719" s="7" t="s">
        <v>482</v>
      </c>
      <c r="E719" s="7" t="s">
        <v>546</v>
      </c>
      <c r="F719" s="7" t="s">
        <v>542</v>
      </c>
      <c r="G719" s="7" t="s">
        <v>36</v>
      </c>
      <c r="J719" s="7" t="n">
        <v>0</v>
      </c>
      <c r="K719" s="7" t="n">
        <v>1</v>
      </c>
      <c r="L719" s="7" t="n">
        <v>0.12</v>
      </c>
      <c r="M719" s="7" t="n">
        <v>0.16</v>
      </c>
      <c r="N719" s="7" t="s">
        <v>543</v>
      </c>
      <c r="O719" s="8" t="s">
        <v>462</v>
      </c>
      <c r="P719" s="8" t="s">
        <v>544</v>
      </c>
      <c r="Q719" s="8" t="s">
        <v>545</v>
      </c>
      <c r="T719" s="7" t="str">
        <f aca="false">_xlfn.TEXTJOIN( , ,B719,C719)</f>
        <v>machine_room_v4Spot Cam - PTZ - 4 spot-cam-ptz.jpg</v>
      </c>
    </row>
    <row r="720" s="7" customFormat="true" ht="15.75" hidden="true" customHeight="true" outlineLevel="0" collapsed="false">
      <c r="A720" s="7" t="s">
        <v>20</v>
      </c>
      <c r="B720" s="7" t="s">
        <v>405</v>
      </c>
      <c r="C720" s="7" t="s">
        <v>67</v>
      </c>
      <c r="D720" s="7" t="s">
        <v>482</v>
      </c>
      <c r="E720" s="7" t="s">
        <v>424</v>
      </c>
      <c r="F720" s="10" t="s">
        <v>349</v>
      </c>
      <c r="G720" s="7" t="s">
        <v>350</v>
      </c>
      <c r="O720" s="8" t="s">
        <v>462</v>
      </c>
      <c r="P720" s="8" t="s">
        <v>547</v>
      </c>
      <c r="Q720" s="8" t="s">
        <v>545</v>
      </c>
      <c r="T720" s="7" t="str">
        <f aca="false">_xlfn.TEXTJOIN( , ,B720,C720)</f>
        <v>machine_room_v4Spot Cam - PTZ - 4 spot-cam-ptz.jpg</v>
      </c>
    </row>
    <row r="721" s="7" customFormat="true" ht="15.75" hidden="false" customHeight="true" outlineLevel="0" collapsed="false">
      <c r="A721" s="7" t="s">
        <v>20</v>
      </c>
      <c r="B721" s="7" t="s">
        <v>405</v>
      </c>
      <c r="C721" s="7" t="s">
        <v>163</v>
      </c>
      <c r="D721" s="10" t="s">
        <v>548</v>
      </c>
      <c r="E721" s="7" t="s">
        <v>549</v>
      </c>
      <c r="F721" s="7" t="s">
        <v>511</v>
      </c>
      <c r="G721" s="7" t="s">
        <v>44</v>
      </c>
      <c r="J721" s="7" t="n">
        <v>0</v>
      </c>
      <c r="L721" s="7" t="n">
        <v>0</v>
      </c>
      <c r="N721" s="7" t="s">
        <v>550</v>
      </c>
      <c r="O721" s="7" t="s">
        <v>528</v>
      </c>
      <c r="P721" s="8" t="s">
        <v>514</v>
      </c>
      <c r="S721" s="11" t="s">
        <v>515</v>
      </c>
      <c r="T721" s="7" t="str">
        <f aca="false">_xlfn.TEXTJOIN( , ,B721,C721)</f>
        <v>machine_room_v4Spot Cam - PTZ - 40 spot-cam-ptz.jpg</v>
      </c>
    </row>
    <row r="722" s="7" customFormat="true" ht="15.75" hidden="false" customHeight="true" outlineLevel="0" collapsed="false">
      <c r="A722" s="7" t="s">
        <v>20</v>
      </c>
      <c r="B722" s="7" t="s">
        <v>405</v>
      </c>
      <c r="C722" s="7" t="s">
        <v>163</v>
      </c>
      <c r="D722" s="10" t="s">
        <v>548</v>
      </c>
      <c r="E722" s="7" t="s">
        <v>551</v>
      </c>
      <c r="F722" s="7" t="s">
        <v>511</v>
      </c>
      <c r="G722" s="7" t="s">
        <v>44</v>
      </c>
      <c r="J722" s="7" t="n">
        <v>0</v>
      </c>
      <c r="K722" s="7" t="n">
        <v>0</v>
      </c>
      <c r="L722" s="7" t="n">
        <v>0</v>
      </c>
      <c r="M722" s="7" t="n">
        <v>0</v>
      </c>
      <c r="N722" s="7" t="s">
        <v>512</v>
      </c>
      <c r="O722" s="7" t="s">
        <v>528</v>
      </c>
      <c r="P722" s="8" t="s">
        <v>514</v>
      </c>
      <c r="S722" s="11" t="s">
        <v>515</v>
      </c>
      <c r="T722" s="7" t="str">
        <f aca="false">_xlfn.TEXTJOIN( , ,B722,C722)</f>
        <v>machine_room_v4Spot Cam - PTZ - 40 spot-cam-ptz.jpg</v>
      </c>
    </row>
    <row r="723" s="7" customFormat="true" ht="15.75" hidden="false" customHeight="true" outlineLevel="0" collapsed="false">
      <c r="A723" s="7" t="s">
        <v>20</v>
      </c>
      <c r="B723" s="7" t="s">
        <v>405</v>
      </c>
      <c r="C723" s="7" t="s">
        <v>163</v>
      </c>
      <c r="D723" s="10" t="s">
        <v>548</v>
      </c>
      <c r="E723" s="7" t="s">
        <v>552</v>
      </c>
      <c r="F723" s="7" t="s">
        <v>511</v>
      </c>
      <c r="G723" s="7" t="s">
        <v>44</v>
      </c>
      <c r="J723" s="7" t="n">
        <v>0</v>
      </c>
      <c r="K723" s="7" t="n">
        <v>0</v>
      </c>
      <c r="L723" s="7" t="n">
        <v>0</v>
      </c>
      <c r="M723" s="7" t="n">
        <v>0</v>
      </c>
      <c r="N723" s="7" t="s">
        <v>512</v>
      </c>
      <c r="O723" s="7" t="s">
        <v>528</v>
      </c>
      <c r="P723" s="8" t="s">
        <v>514</v>
      </c>
      <c r="S723" s="11" t="s">
        <v>515</v>
      </c>
      <c r="T723" s="7" t="str">
        <f aca="false">_xlfn.TEXTJOIN( , ,B723,C723)</f>
        <v>machine_room_v4Spot Cam - PTZ - 40 spot-cam-ptz.jpg</v>
      </c>
    </row>
    <row r="724" s="7" customFormat="true" ht="15.75" hidden="false" customHeight="true" outlineLevel="0" collapsed="false">
      <c r="A724" s="7" t="s">
        <v>20</v>
      </c>
      <c r="B724" s="7" t="s">
        <v>405</v>
      </c>
      <c r="C724" s="7" t="s">
        <v>163</v>
      </c>
      <c r="D724" s="10" t="s">
        <v>548</v>
      </c>
      <c r="E724" s="7" t="s">
        <v>553</v>
      </c>
      <c r="F724" s="7" t="s">
        <v>511</v>
      </c>
      <c r="G724" s="7" t="s">
        <v>44</v>
      </c>
      <c r="J724" s="7" t="n">
        <v>0</v>
      </c>
      <c r="K724" s="7" t="n">
        <v>0</v>
      </c>
      <c r="L724" s="7" t="n">
        <v>0</v>
      </c>
      <c r="M724" s="7" t="n">
        <v>0</v>
      </c>
      <c r="N724" s="7" t="s">
        <v>512</v>
      </c>
      <c r="O724" s="7" t="s">
        <v>528</v>
      </c>
      <c r="P724" s="8" t="s">
        <v>514</v>
      </c>
      <c r="S724" s="11" t="s">
        <v>515</v>
      </c>
      <c r="T724" s="7" t="str">
        <f aca="false">_xlfn.TEXTJOIN( , ,B724,C724)</f>
        <v>machine_room_v4Spot Cam - PTZ - 40 spot-cam-ptz.jpg</v>
      </c>
    </row>
    <row r="725" s="7" customFormat="true" ht="15.75" hidden="false" customHeight="true" outlineLevel="0" collapsed="false">
      <c r="A725" s="7" t="s">
        <v>20</v>
      </c>
      <c r="B725" s="7" t="s">
        <v>405</v>
      </c>
      <c r="C725" s="7" t="s">
        <v>163</v>
      </c>
      <c r="D725" s="10" t="s">
        <v>548</v>
      </c>
      <c r="E725" s="7" t="s">
        <v>554</v>
      </c>
      <c r="F725" s="7" t="s">
        <v>511</v>
      </c>
      <c r="G725" s="7" t="s">
        <v>44</v>
      </c>
      <c r="J725" s="7" t="n">
        <v>0</v>
      </c>
      <c r="K725" s="7" t="n">
        <v>0</v>
      </c>
      <c r="L725" s="7" t="n">
        <v>0</v>
      </c>
      <c r="M725" s="7" t="n">
        <v>0</v>
      </c>
      <c r="N725" s="7" t="s">
        <v>512</v>
      </c>
      <c r="O725" s="7" t="s">
        <v>528</v>
      </c>
      <c r="P725" s="8" t="s">
        <v>514</v>
      </c>
      <c r="S725" s="11" t="s">
        <v>515</v>
      </c>
      <c r="T725" s="7" t="str">
        <f aca="false">_xlfn.TEXTJOIN( , ,B725,C725)</f>
        <v>machine_room_v4Spot Cam - PTZ - 40 spot-cam-ptz.jpg</v>
      </c>
    </row>
    <row r="726" s="7" customFormat="true" ht="15.75" hidden="false" customHeight="true" outlineLevel="0" collapsed="false">
      <c r="A726" s="7" t="s">
        <v>20</v>
      </c>
      <c r="B726" s="7" t="s">
        <v>405</v>
      </c>
      <c r="C726" s="7" t="s">
        <v>163</v>
      </c>
      <c r="D726" s="10" t="s">
        <v>548</v>
      </c>
      <c r="E726" s="7" t="s">
        <v>555</v>
      </c>
      <c r="F726" s="7" t="s">
        <v>511</v>
      </c>
      <c r="G726" s="7" t="s">
        <v>44</v>
      </c>
      <c r="J726" s="7" t="n">
        <v>0</v>
      </c>
      <c r="K726" s="7" t="n">
        <v>0</v>
      </c>
      <c r="L726" s="7" t="n">
        <v>0</v>
      </c>
      <c r="M726" s="7" t="n">
        <v>0</v>
      </c>
      <c r="N726" s="7" t="s">
        <v>512</v>
      </c>
      <c r="O726" s="7" t="s">
        <v>528</v>
      </c>
      <c r="P726" s="8" t="s">
        <v>514</v>
      </c>
      <c r="S726" s="11" t="s">
        <v>515</v>
      </c>
      <c r="T726" s="7" t="str">
        <f aca="false">_xlfn.TEXTJOIN( , ,B726,C726)</f>
        <v>machine_room_v4Spot Cam - PTZ - 40 spot-cam-ptz.jpg</v>
      </c>
    </row>
    <row r="727" s="7" customFormat="true" ht="15.75" hidden="false" customHeight="true" outlineLevel="0" collapsed="false">
      <c r="A727" s="7" t="s">
        <v>20</v>
      </c>
      <c r="B727" s="7" t="s">
        <v>405</v>
      </c>
      <c r="C727" s="7" t="s">
        <v>163</v>
      </c>
      <c r="D727" s="10" t="s">
        <v>548</v>
      </c>
      <c r="E727" s="7" t="s">
        <v>556</v>
      </c>
      <c r="F727" s="7" t="s">
        <v>511</v>
      </c>
      <c r="G727" s="7" t="s">
        <v>44</v>
      </c>
      <c r="J727" s="7" t="n">
        <v>0</v>
      </c>
      <c r="K727" s="7" t="n">
        <v>0</v>
      </c>
      <c r="L727" s="7" t="n">
        <v>0</v>
      </c>
      <c r="M727" s="7" t="n">
        <v>0</v>
      </c>
      <c r="N727" s="7" t="s">
        <v>512</v>
      </c>
      <c r="O727" s="7" t="s">
        <v>528</v>
      </c>
      <c r="P727" s="8" t="s">
        <v>514</v>
      </c>
      <c r="S727" s="11" t="s">
        <v>515</v>
      </c>
      <c r="T727" s="7" t="str">
        <f aca="false">_xlfn.TEXTJOIN( , ,B727,C727)</f>
        <v>machine_room_v4Spot Cam - PTZ - 40 spot-cam-ptz.jpg</v>
      </c>
    </row>
    <row r="728" s="7" customFormat="true" ht="15.75" hidden="false" customHeight="true" outlineLevel="0" collapsed="false">
      <c r="A728" s="7" t="s">
        <v>20</v>
      </c>
      <c r="B728" s="7" t="s">
        <v>405</v>
      </c>
      <c r="C728" s="7" t="s">
        <v>163</v>
      </c>
      <c r="D728" s="10" t="s">
        <v>548</v>
      </c>
      <c r="E728" s="7" t="s">
        <v>557</v>
      </c>
      <c r="F728" s="7" t="s">
        <v>511</v>
      </c>
      <c r="G728" s="7" t="s">
        <v>44</v>
      </c>
      <c r="J728" s="7" t="n">
        <v>0</v>
      </c>
      <c r="L728" s="7" t="n">
        <v>0</v>
      </c>
      <c r="N728" s="7" t="s">
        <v>558</v>
      </c>
      <c r="O728" s="7" t="s">
        <v>528</v>
      </c>
      <c r="P728" s="8" t="s">
        <v>514</v>
      </c>
      <c r="S728" s="11" t="s">
        <v>515</v>
      </c>
      <c r="T728" s="7" t="str">
        <f aca="false">_xlfn.TEXTJOIN( , ,B728,C728)</f>
        <v>machine_room_v4Spot Cam - PTZ - 40 spot-cam-ptz.jpg</v>
      </c>
    </row>
    <row r="729" s="7" customFormat="true" ht="15.75" hidden="false" customHeight="true" outlineLevel="0" collapsed="false">
      <c r="A729" s="7" t="s">
        <v>20</v>
      </c>
      <c r="B729" s="7" t="s">
        <v>405</v>
      </c>
      <c r="C729" s="7" t="s">
        <v>163</v>
      </c>
      <c r="D729" s="10" t="s">
        <v>548</v>
      </c>
      <c r="E729" s="7" t="s">
        <v>559</v>
      </c>
      <c r="F729" s="7" t="s">
        <v>511</v>
      </c>
      <c r="G729" s="7" t="s">
        <v>44</v>
      </c>
      <c r="J729" s="7" t="n">
        <v>0</v>
      </c>
      <c r="L729" s="7" t="n">
        <v>0</v>
      </c>
      <c r="N729" s="7" t="s">
        <v>560</v>
      </c>
      <c r="O729" s="7" t="s">
        <v>528</v>
      </c>
      <c r="P729" s="8" t="s">
        <v>514</v>
      </c>
      <c r="S729" s="11" t="s">
        <v>515</v>
      </c>
      <c r="T729" s="7" t="str">
        <f aca="false">_xlfn.TEXTJOIN( , ,B729,C729)</f>
        <v>machine_room_v4Spot Cam - PTZ - 40 spot-cam-ptz.jpg</v>
      </c>
    </row>
    <row r="730" s="7" customFormat="true" ht="15.75" hidden="true" customHeight="true" outlineLevel="0" collapsed="false">
      <c r="A730" s="7" t="s">
        <v>20</v>
      </c>
      <c r="B730" s="7" t="s">
        <v>405</v>
      </c>
      <c r="C730" s="7" t="s">
        <v>163</v>
      </c>
      <c r="D730" s="10" t="s">
        <v>548</v>
      </c>
      <c r="E730" s="7" t="s">
        <v>549</v>
      </c>
      <c r="F730" s="7" t="s">
        <v>526</v>
      </c>
      <c r="G730" s="7" t="s">
        <v>78</v>
      </c>
      <c r="T730" s="7" t="str">
        <f aca="false">_xlfn.TEXTJOIN( , ,B730,C730)</f>
        <v>machine_room_v4Spot Cam - PTZ - 40 spot-cam-ptz.jpg</v>
      </c>
    </row>
    <row r="731" s="7" customFormat="true" ht="15.75" hidden="true" customHeight="true" outlineLevel="0" collapsed="false">
      <c r="A731" s="7" t="s">
        <v>20</v>
      </c>
      <c r="B731" s="7" t="s">
        <v>405</v>
      </c>
      <c r="C731" s="7" t="s">
        <v>163</v>
      </c>
      <c r="D731" s="10" t="s">
        <v>548</v>
      </c>
      <c r="E731" s="7" t="s">
        <v>551</v>
      </c>
      <c r="F731" s="7" t="s">
        <v>526</v>
      </c>
      <c r="G731" s="7" t="s">
        <v>78</v>
      </c>
      <c r="T731" s="7" t="str">
        <f aca="false">_xlfn.TEXTJOIN( , ,B731,C731)</f>
        <v>machine_room_v4Spot Cam - PTZ - 40 spot-cam-ptz.jpg</v>
      </c>
    </row>
    <row r="732" s="7" customFormat="true" ht="15.75" hidden="true" customHeight="true" outlineLevel="0" collapsed="false">
      <c r="A732" s="7" t="s">
        <v>20</v>
      </c>
      <c r="B732" s="7" t="s">
        <v>405</v>
      </c>
      <c r="C732" s="7" t="s">
        <v>163</v>
      </c>
      <c r="D732" s="10" t="s">
        <v>548</v>
      </c>
      <c r="E732" s="7" t="s">
        <v>552</v>
      </c>
      <c r="F732" s="7" t="s">
        <v>526</v>
      </c>
      <c r="G732" s="7" t="s">
        <v>78</v>
      </c>
      <c r="T732" s="7" t="str">
        <f aca="false">_xlfn.TEXTJOIN( , ,B732,C732)</f>
        <v>machine_room_v4Spot Cam - PTZ - 40 spot-cam-ptz.jpg</v>
      </c>
    </row>
    <row r="733" s="7" customFormat="true" ht="15.75" hidden="true" customHeight="true" outlineLevel="0" collapsed="false">
      <c r="A733" s="7" t="s">
        <v>20</v>
      </c>
      <c r="B733" s="7" t="s">
        <v>405</v>
      </c>
      <c r="C733" s="7" t="s">
        <v>163</v>
      </c>
      <c r="D733" s="10" t="s">
        <v>548</v>
      </c>
      <c r="E733" s="7" t="s">
        <v>553</v>
      </c>
      <c r="F733" s="7" t="s">
        <v>526</v>
      </c>
      <c r="G733" s="7" t="s">
        <v>78</v>
      </c>
      <c r="T733" s="7" t="str">
        <f aca="false">_xlfn.TEXTJOIN( , ,B733,C733)</f>
        <v>machine_room_v4Spot Cam - PTZ - 40 spot-cam-ptz.jpg</v>
      </c>
    </row>
    <row r="734" s="7" customFormat="true" ht="15.75" hidden="true" customHeight="true" outlineLevel="0" collapsed="false">
      <c r="A734" s="7" t="s">
        <v>20</v>
      </c>
      <c r="B734" s="7" t="s">
        <v>405</v>
      </c>
      <c r="C734" s="7" t="s">
        <v>163</v>
      </c>
      <c r="D734" s="10" t="s">
        <v>548</v>
      </c>
      <c r="E734" s="7" t="s">
        <v>554</v>
      </c>
      <c r="F734" s="7" t="s">
        <v>526</v>
      </c>
      <c r="G734" s="7" t="s">
        <v>78</v>
      </c>
      <c r="T734" s="7" t="str">
        <f aca="false">_xlfn.TEXTJOIN( , ,B734,C734)</f>
        <v>machine_room_v4Spot Cam - PTZ - 40 spot-cam-ptz.jpg</v>
      </c>
    </row>
    <row r="735" s="7" customFormat="true" ht="15.75" hidden="true" customHeight="true" outlineLevel="0" collapsed="false">
      <c r="A735" s="7" t="s">
        <v>20</v>
      </c>
      <c r="B735" s="7" t="s">
        <v>405</v>
      </c>
      <c r="C735" s="7" t="s">
        <v>163</v>
      </c>
      <c r="D735" s="10" t="s">
        <v>548</v>
      </c>
      <c r="E735" s="7" t="s">
        <v>555</v>
      </c>
      <c r="F735" s="7" t="s">
        <v>526</v>
      </c>
      <c r="G735" s="7" t="s">
        <v>78</v>
      </c>
      <c r="T735" s="7" t="str">
        <f aca="false">_xlfn.TEXTJOIN( , ,B735,C735)</f>
        <v>machine_room_v4Spot Cam - PTZ - 40 spot-cam-ptz.jpg</v>
      </c>
    </row>
    <row r="736" s="7" customFormat="true" ht="15.75" hidden="true" customHeight="true" outlineLevel="0" collapsed="false">
      <c r="A736" s="7" t="s">
        <v>20</v>
      </c>
      <c r="B736" s="7" t="s">
        <v>405</v>
      </c>
      <c r="C736" s="7" t="s">
        <v>163</v>
      </c>
      <c r="D736" s="10" t="s">
        <v>548</v>
      </c>
      <c r="E736" s="7" t="s">
        <v>556</v>
      </c>
      <c r="F736" s="7" t="s">
        <v>526</v>
      </c>
      <c r="G736" s="7" t="s">
        <v>78</v>
      </c>
      <c r="T736" s="7" t="str">
        <f aca="false">_xlfn.TEXTJOIN( , ,B736,C736)</f>
        <v>machine_room_v4Spot Cam - PTZ - 40 spot-cam-ptz.jpg</v>
      </c>
    </row>
    <row r="737" s="7" customFormat="true" ht="15.75" hidden="true" customHeight="true" outlineLevel="0" collapsed="false">
      <c r="A737" s="7" t="s">
        <v>20</v>
      </c>
      <c r="B737" s="7" t="s">
        <v>405</v>
      </c>
      <c r="C737" s="7" t="s">
        <v>163</v>
      </c>
      <c r="D737" s="10" t="s">
        <v>548</v>
      </c>
      <c r="E737" s="7" t="s">
        <v>557</v>
      </c>
      <c r="F737" s="7" t="s">
        <v>526</v>
      </c>
      <c r="G737" s="7" t="s">
        <v>78</v>
      </c>
      <c r="T737" s="7" t="str">
        <f aca="false">_xlfn.TEXTJOIN( , ,B737,C737)</f>
        <v>machine_room_v4Spot Cam - PTZ - 40 spot-cam-ptz.jpg</v>
      </c>
    </row>
    <row r="738" s="7" customFormat="true" ht="15.75" hidden="true" customHeight="true" outlineLevel="0" collapsed="false">
      <c r="A738" s="7" t="s">
        <v>20</v>
      </c>
      <c r="B738" s="7" t="s">
        <v>405</v>
      </c>
      <c r="C738" s="7" t="s">
        <v>163</v>
      </c>
      <c r="D738" s="10" t="s">
        <v>548</v>
      </c>
      <c r="E738" s="7" t="s">
        <v>559</v>
      </c>
      <c r="F738" s="7" t="s">
        <v>526</v>
      </c>
      <c r="G738" s="7" t="s">
        <v>78</v>
      </c>
      <c r="T738" s="7" t="str">
        <f aca="false">_xlfn.TEXTJOIN( , ,B738,C738)</f>
        <v>machine_room_v4Spot Cam - PTZ - 40 spot-cam-ptz.jpg</v>
      </c>
    </row>
    <row r="739" s="7" customFormat="true" ht="15" hidden="true" customHeight="true" outlineLevel="0" collapsed="false">
      <c r="A739" s="7" t="s">
        <v>20</v>
      </c>
      <c r="B739" s="7" t="s">
        <v>405</v>
      </c>
      <c r="C739" s="7" t="s">
        <v>163</v>
      </c>
      <c r="D739" s="10" t="s">
        <v>548</v>
      </c>
      <c r="E739" s="7" t="s">
        <v>92</v>
      </c>
      <c r="F739" s="7" t="s">
        <v>93</v>
      </c>
      <c r="G739" s="7" t="s">
        <v>78</v>
      </c>
      <c r="O739" s="7" t="s">
        <v>528</v>
      </c>
      <c r="P739" s="8" t="s">
        <v>527</v>
      </c>
      <c r="T739" s="7" t="str">
        <f aca="false">_xlfn.TEXTJOIN( , ,B739,C739)</f>
        <v>machine_room_v4Spot Cam - PTZ - 40 spot-cam-ptz.jpg</v>
      </c>
    </row>
    <row r="740" s="7" customFormat="true" ht="15" hidden="true" customHeight="true" outlineLevel="0" collapsed="false">
      <c r="A740" s="7" t="s">
        <v>20</v>
      </c>
      <c r="B740" s="7" t="s">
        <v>405</v>
      </c>
      <c r="C740" s="7" t="s">
        <v>163</v>
      </c>
      <c r="D740" s="10" t="s">
        <v>548</v>
      </c>
      <c r="E740" s="7" t="s">
        <v>549</v>
      </c>
      <c r="F740" s="7" t="s">
        <v>529</v>
      </c>
      <c r="G740" s="7" t="s">
        <v>78</v>
      </c>
      <c r="T740" s="7" t="str">
        <f aca="false">_xlfn.TEXTJOIN( , ,B740,C740)</f>
        <v>machine_room_v4Spot Cam - PTZ - 40 spot-cam-ptz.jpg</v>
      </c>
    </row>
    <row r="741" s="7" customFormat="true" ht="15" hidden="true" customHeight="true" outlineLevel="0" collapsed="false">
      <c r="A741" s="7" t="s">
        <v>20</v>
      </c>
      <c r="B741" s="7" t="s">
        <v>405</v>
      </c>
      <c r="C741" s="7" t="s">
        <v>163</v>
      </c>
      <c r="D741" s="10" t="s">
        <v>548</v>
      </c>
      <c r="E741" s="7" t="s">
        <v>551</v>
      </c>
      <c r="F741" s="7" t="s">
        <v>529</v>
      </c>
      <c r="G741" s="7" t="s">
        <v>78</v>
      </c>
      <c r="T741" s="7" t="str">
        <f aca="false">_xlfn.TEXTJOIN( , ,B741,C741)</f>
        <v>machine_room_v4Spot Cam - PTZ - 40 spot-cam-ptz.jpg</v>
      </c>
    </row>
    <row r="742" s="7" customFormat="true" ht="15" hidden="true" customHeight="true" outlineLevel="0" collapsed="false">
      <c r="A742" s="7" t="s">
        <v>20</v>
      </c>
      <c r="B742" s="7" t="s">
        <v>405</v>
      </c>
      <c r="C742" s="7" t="s">
        <v>163</v>
      </c>
      <c r="D742" s="10" t="s">
        <v>548</v>
      </c>
      <c r="E742" s="7" t="s">
        <v>552</v>
      </c>
      <c r="F742" s="7" t="s">
        <v>529</v>
      </c>
      <c r="G742" s="7" t="s">
        <v>78</v>
      </c>
      <c r="T742" s="7" t="str">
        <f aca="false">_xlfn.TEXTJOIN( , ,B742,C742)</f>
        <v>machine_room_v4Spot Cam - PTZ - 40 spot-cam-ptz.jpg</v>
      </c>
    </row>
    <row r="743" s="7" customFormat="true" ht="15" hidden="true" customHeight="true" outlineLevel="0" collapsed="false">
      <c r="A743" s="7" t="s">
        <v>20</v>
      </c>
      <c r="B743" s="7" t="s">
        <v>405</v>
      </c>
      <c r="C743" s="7" t="s">
        <v>163</v>
      </c>
      <c r="D743" s="10" t="s">
        <v>548</v>
      </c>
      <c r="E743" s="7" t="s">
        <v>553</v>
      </c>
      <c r="F743" s="7" t="s">
        <v>529</v>
      </c>
      <c r="G743" s="7" t="s">
        <v>78</v>
      </c>
      <c r="T743" s="7" t="str">
        <f aca="false">_xlfn.TEXTJOIN( , ,B743,C743)</f>
        <v>machine_room_v4Spot Cam - PTZ - 40 spot-cam-ptz.jpg</v>
      </c>
    </row>
    <row r="744" s="7" customFormat="true" ht="15" hidden="true" customHeight="true" outlineLevel="0" collapsed="false">
      <c r="A744" s="7" t="s">
        <v>20</v>
      </c>
      <c r="B744" s="7" t="s">
        <v>405</v>
      </c>
      <c r="C744" s="7" t="s">
        <v>163</v>
      </c>
      <c r="D744" s="10" t="s">
        <v>548</v>
      </c>
      <c r="E744" s="7" t="s">
        <v>554</v>
      </c>
      <c r="F744" s="7" t="s">
        <v>529</v>
      </c>
      <c r="G744" s="7" t="s">
        <v>78</v>
      </c>
      <c r="T744" s="7" t="str">
        <f aca="false">_xlfn.TEXTJOIN( , ,B744,C744)</f>
        <v>machine_room_v4Spot Cam - PTZ - 40 spot-cam-ptz.jpg</v>
      </c>
    </row>
    <row r="745" s="7" customFormat="true" ht="15" hidden="true" customHeight="true" outlineLevel="0" collapsed="false">
      <c r="A745" s="7" t="s">
        <v>20</v>
      </c>
      <c r="B745" s="7" t="s">
        <v>405</v>
      </c>
      <c r="C745" s="7" t="s">
        <v>163</v>
      </c>
      <c r="D745" s="10" t="s">
        <v>548</v>
      </c>
      <c r="E745" s="7" t="s">
        <v>555</v>
      </c>
      <c r="F745" s="7" t="s">
        <v>529</v>
      </c>
      <c r="G745" s="7" t="s">
        <v>78</v>
      </c>
      <c r="T745" s="7" t="str">
        <f aca="false">_xlfn.TEXTJOIN( , ,B745,C745)</f>
        <v>machine_room_v4Spot Cam - PTZ - 40 spot-cam-ptz.jpg</v>
      </c>
    </row>
    <row r="746" s="7" customFormat="true" ht="15" hidden="true" customHeight="true" outlineLevel="0" collapsed="false">
      <c r="A746" s="7" t="s">
        <v>20</v>
      </c>
      <c r="B746" s="7" t="s">
        <v>405</v>
      </c>
      <c r="C746" s="7" t="s">
        <v>163</v>
      </c>
      <c r="D746" s="10" t="s">
        <v>548</v>
      </c>
      <c r="E746" s="7" t="s">
        <v>556</v>
      </c>
      <c r="F746" s="7" t="s">
        <v>529</v>
      </c>
      <c r="G746" s="7" t="s">
        <v>78</v>
      </c>
      <c r="T746" s="7" t="str">
        <f aca="false">_xlfn.TEXTJOIN( , ,B746,C746)</f>
        <v>machine_room_v4Spot Cam - PTZ - 40 spot-cam-ptz.jpg</v>
      </c>
    </row>
    <row r="747" s="7" customFormat="true" ht="15" hidden="true" customHeight="true" outlineLevel="0" collapsed="false">
      <c r="A747" s="7" t="s">
        <v>20</v>
      </c>
      <c r="B747" s="7" t="s">
        <v>405</v>
      </c>
      <c r="C747" s="7" t="s">
        <v>163</v>
      </c>
      <c r="D747" s="10" t="s">
        <v>548</v>
      </c>
      <c r="E747" s="7" t="s">
        <v>557</v>
      </c>
      <c r="F747" s="7" t="s">
        <v>529</v>
      </c>
      <c r="G747" s="7" t="s">
        <v>78</v>
      </c>
      <c r="T747" s="7" t="str">
        <f aca="false">_xlfn.TEXTJOIN( , ,B747,C747)</f>
        <v>machine_room_v4Spot Cam - PTZ - 40 spot-cam-ptz.jpg</v>
      </c>
    </row>
    <row r="748" s="7" customFormat="true" ht="15" hidden="true" customHeight="true" outlineLevel="0" collapsed="false">
      <c r="A748" s="7" t="s">
        <v>20</v>
      </c>
      <c r="B748" s="7" t="s">
        <v>405</v>
      </c>
      <c r="C748" s="7" t="s">
        <v>163</v>
      </c>
      <c r="D748" s="10" t="s">
        <v>548</v>
      </c>
      <c r="E748" s="7" t="s">
        <v>559</v>
      </c>
      <c r="F748" s="7" t="s">
        <v>529</v>
      </c>
      <c r="G748" s="7" t="s">
        <v>78</v>
      </c>
      <c r="T748" s="7" t="str">
        <f aca="false">_xlfn.TEXTJOIN( , ,B748,C748)</f>
        <v>machine_room_v4Spot Cam - PTZ - 40 spot-cam-ptz.jpg</v>
      </c>
    </row>
    <row r="749" s="7" customFormat="true" ht="15.75" hidden="true" customHeight="true" outlineLevel="0" collapsed="false">
      <c r="A749" s="7" t="s">
        <v>20</v>
      </c>
      <c r="B749" s="7" t="s">
        <v>405</v>
      </c>
      <c r="C749" s="7" t="s">
        <v>163</v>
      </c>
      <c r="D749" s="10" t="s">
        <v>548</v>
      </c>
      <c r="E749" s="7" t="s">
        <v>406</v>
      </c>
      <c r="F749" s="7" t="s">
        <v>88</v>
      </c>
      <c r="G749" s="7" t="s">
        <v>78</v>
      </c>
      <c r="T749" s="7" t="str">
        <f aca="false">_xlfn.TEXTJOIN( , ,B749,C749)</f>
        <v>machine_room_v4Spot Cam - PTZ - 40 spot-cam-ptz.jpg</v>
      </c>
    </row>
    <row r="750" s="7" customFormat="true" ht="15.75" hidden="true" customHeight="true" outlineLevel="0" collapsed="false">
      <c r="A750" s="7" t="s">
        <v>20</v>
      </c>
      <c r="B750" s="7" t="s">
        <v>405</v>
      </c>
      <c r="C750" s="7" t="s">
        <v>163</v>
      </c>
      <c r="D750" s="10" t="s">
        <v>548</v>
      </c>
      <c r="E750" s="7" t="s">
        <v>561</v>
      </c>
      <c r="F750" s="7" t="s">
        <v>88</v>
      </c>
      <c r="G750" s="7" t="s">
        <v>78</v>
      </c>
      <c r="O750" s="8" t="s">
        <v>562</v>
      </c>
      <c r="P750" s="8" t="s">
        <v>563</v>
      </c>
      <c r="Q750" s="8" t="s">
        <v>545</v>
      </c>
      <c r="T750" s="7" t="str">
        <f aca="false">_xlfn.TEXTJOIN( , ,B750,C750)</f>
        <v>machine_room_v4Spot Cam - PTZ - 40 spot-cam-ptz.jpg</v>
      </c>
    </row>
    <row r="751" s="7" customFormat="true" ht="15.75" hidden="true" customHeight="true" outlineLevel="0" collapsed="false">
      <c r="A751" s="7" t="s">
        <v>20</v>
      </c>
      <c r="B751" s="7" t="s">
        <v>405</v>
      </c>
      <c r="C751" s="7" t="s">
        <v>163</v>
      </c>
      <c r="D751" s="10" t="s">
        <v>548</v>
      </c>
      <c r="E751" s="7" t="s">
        <v>549</v>
      </c>
      <c r="F751" s="7" t="s">
        <v>373</v>
      </c>
      <c r="G751" s="7" t="s">
        <v>78</v>
      </c>
      <c r="T751" s="7" t="str">
        <f aca="false">_xlfn.TEXTJOIN( , ,B751,C751)</f>
        <v>machine_room_v4Spot Cam - PTZ - 40 spot-cam-ptz.jpg</v>
      </c>
    </row>
    <row r="752" s="7" customFormat="true" ht="15.75" hidden="true" customHeight="true" outlineLevel="0" collapsed="false">
      <c r="A752" s="7" t="s">
        <v>20</v>
      </c>
      <c r="B752" s="7" t="s">
        <v>405</v>
      </c>
      <c r="C752" s="7" t="s">
        <v>163</v>
      </c>
      <c r="D752" s="10" t="s">
        <v>548</v>
      </c>
      <c r="E752" s="7" t="s">
        <v>551</v>
      </c>
      <c r="F752" s="7" t="s">
        <v>373</v>
      </c>
      <c r="G752" s="7" t="s">
        <v>78</v>
      </c>
      <c r="T752" s="7" t="str">
        <f aca="false">_xlfn.TEXTJOIN( , ,B752,C752)</f>
        <v>machine_room_v4Spot Cam - PTZ - 40 spot-cam-ptz.jpg</v>
      </c>
    </row>
    <row r="753" s="7" customFormat="true" ht="15.75" hidden="true" customHeight="true" outlineLevel="0" collapsed="false">
      <c r="A753" s="7" t="s">
        <v>20</v>
      </c>
      <c r="B753" s="7" t="s">
        <v>405</v>
      </c>
      <c r="C753" s="7" t="s">
        <v>163</v>
      </c>
      <c r="D753" s="10" t="s">
        <v>548</v>
      </c>
      <c r="E753" s="7" t="s">
        <v>552</v>
      </c>
      <c r="F753" s="7" t="s">
        <v>373</v>
      </c>
      <c r="G753" s="7" t="s">
        <v>78</v>
      </c>
      <c r="T753" s="7" t="str">
        <f aca="false">_xlfn.TEXTJOIN( , ,B753,C753)</f>
        <v>machine_room_v4Spot Cam - PTZ - 40 spot-cam-ptz.jpg</v>
      </c>
    </row>
    <row r="754" s="7" customFormat="true" ht="15.75" hidden="true" customHeight="true" outlineLevel="0" collapsed="false">
      <c r="A754" s="7" t="s">
        <v>20</v>
      </c>
      <c r="B754" s="7" t="s">
        <v>405</v>
      </c>
      <c r="C754" s="7" t="s">
        <v>163</v>
      </c>
      <c r="D754" s="10" t="s">
        <v>548</v>
      </c>
      <c r="E754" s="7" t="s">
        <v>553</v>
      </c>
      <c r="F754" s="7" t="s">
        <v>373</v>
      </c>
      <c r="G754" s="7" t="s">
        <v>78</v>
      </c>
      <c r="T754" s="7" t="str">
        <f aca="false">_xlfn.TEXTJOIN( , ,B754,C754)</f>
        <v>machine_room_v4Spot Cam - PTZ - 40 spot-cam-ptz.jpg</v>
      </c>
    </row>
    <row r="755" s="7" customFormat="true" ht="15" hidden="true" customHeight="true" outlineLevel="0" collapsed="false">
      <c r="A755" s="7" t="s">
        <v>20</v>
      </c>
      <c r="B755" s="7" t="s">
        <v>405</v>
      </c>
      <c r="C755" s="7" t="s">
        <v>163</v>
      </c>
      <c r="D755" s="10" t="s">
        <v>548</v>
      </c>
      <c r="E755" s="7" t="s">
        <v>554</v>
      </c>
      <c r="F755" s="7" t="s">
        <v>373</v>
      </c>
      <c r="G755" s="7" t="s">
        <v>78</v>
      </c>
      <c r="T755" s="7" t="str">
        <f aca="false">_xlfn.TEXTJOIN( , ,B755,C755)</f>
        <v>machine_room_v4Spot Cam - PTZ - 40 spot-cam-ptz.jpg</v>
      </c>
    </row>
    <row r="756" s="7" customFormat="true" ht="15" hidden="true" customHeight="true" outlineLevel="0" collapsed="false">
      <c r="A756" s="7" t="s">
        <v>20</v>
      </c>
      <c r="B756" s="7" t="s">
        <v>405</v>
      </c>
      <c r="C756" s="7" t="s">
        <v>163</v>
      </c>
      <c r="D756" s="10" t="s">
        <v>548</v>
      </c>
      <c r="E756" s="7" t="s">
        <v>555</v>
      </c>
      <c r="F756" s="7" t="s">
        <v>373</v>
      </c>
      <c r="G756" s="7" t="s">
        <v>78</v>
      </c>
      <c r="T756" s="7" t="str">
        <f aca="false">_xlfn.TEXTJOIN( , ,B756,C756)</f>
        <v>machine_room_v4Spot Cam - PTZ - 40 spot-cam-ptz.jpg</v>
      </c>
    </row>
    <row r="757" s="7" customFormat="true" ht="15.75" hidden="true" customHeight="true" outlineLevel="0" collapsed="false">
      <c r="A757" s="7" t="s">
        <v>20</v>
      </c>
      <c r="B757" s="7" t="s">
        <v>405</v>
      </c>
      <c r="C757" s="7" t="s">
        <v>163</v>
      </c>
      <c r="D757" s="10" t="s">
        <v>548</v>
      </c>
      <c r="E757" s="7" t="s">
        <v>556</v>
      </c>
      <c r="F757" s="7" t="s">
        <v>373</v>
      </c>
      <c r="G757" s="7" t="s">
        <v>78</v>
      </c>
      <c r="T757" s="7" t="str">
        <f aca="false">_xlfn.TEXTJOIN( , ,B757,C757)</f>
        <v>machine_room_v4Spot Cam - PTZ - 40 spot-cam-ptz.jpg</v>
      </c>
    </row>
    <row r="758" s="7" customFormat="true" ht="15.75" hidden="true" customHeight="true" outlineLevel="0" collapsed="false">
      <c r="A758" s="7" t="s">
        <v>20</v>
      </c>
      <c r="B758" s="7" t="s">
        <v>405</v>
      </c>
      <c r="C758" s="7" t="s">
        <v>163</v>
      </c>
      <c r="D758" s="10" t="s">
        <v>548</v>
      </c>
      <c r="E758" s="7" t="s">
        <v>557</v>
      </c>
      <c r="F758" s="7" t="s">
        <v>373</v>
      </c>
      <c r="G758" s="7" t="s">
        <v>78</v>
      </c>
      <c r="T758" s="7" t="str">
        <f aca="false">_xlfn.TEXTJOIN( , ,B758,C758)</f>
        <v>machine_room_v4Spot Cam - PTZ - 40 spot-cam-ptz.jpg</v>
      </c>
    </row>
    <row r="759" s="7" customFormat="true" ht="15.75" hidden="true" customHeight="true" outlineLevel="0" collapsed="false">
      <c r="A759" s="7" t="s">
        <v>20</v>
      </c>
      <c r="B759" s="7" t="s">
        <v>405</v>
      </c>
      <c r="C759" s="7" t="s">
        <v>163</v>
      </c>
      <c r="D759" s="10" t="s">
        <v>548</v>
      </c>
      <c r="E759" s="7" t="s">
        <v>559</v>
      </c>
      <c r="F759" s="7" t="s">
        <v>373</v>
      </c>
      <c r="G759" s="7" t="s">
        <v>78</v>
      </c>
      <c r="T759" s="7" t="str">
        <f aca="false">_xlfn.TEXTJOIN( , ,B759,C759)</f>
        <v>machine_room_v4Spot Cam - PTZ - 40 spot-cam-ptz.jpg</v>
      </c>
    </row>
    <row r="760" s="7" customFormat="true" ht="15.75" hidden="true" customHeight="true" outlineLevel="0" collapsed="false">
      <c r="A760" s="7" t="s">
        <v>20</v>
      </c>
      <c r="B760" s="7" t="s">
        <v>405</v>
      </c>
      <c r="C760" s="7" t="s">
        <v>163</v>
      </c>
      <c r="D760" s="10" t="s">
        <v>548</v>
      </c>
      <c r="E760" s="7" t="s">
        <v>549</v>
      </c>
      <c r="F760" s="7" t="s">
        <v>161</v>
      </c>
      <c r="G760" s="7" t="s">
        <v>102</v>
      </c>
      <c r="T760" s="7" t="str">
        <f aca="false">_xlfn.TEXTJOIN( , ,B760,C760)</f>
        <v>machine_room_v4Spot Cam - PTZ - 40 spot-cam-ptz.jpg</v>
      </c>
    </row>
    <row r="761" s="7" customFormat="true" ht="15.75" hidden="true" customHeight="true" outlineLevel="0" collapsed="false">
      <c r="A761" s="7" t="s">
        <v>20</v>
      </c>
      <c r="B761" s="7" t="s">
        <v>405</v>
      </c>
      <c r="C761" s="7" t="s">
        <v>163</v>
      </c>
      <c r="D761" s="10" t="s">
        <v>548</v>
      </c>
      <c r="E761" s="7" t="s">
        <v>551</v>
      </c>
      <c r="F761" s="7" t="s">
        <v>161</v>
      </c>
      <c r="G761" s="7" t="s">
        <v>102</v>
      </c>
      <c r="T761" s="7" t="str">
        <f aca="false">_xlfn.TEXTJOIN( , ,B761,C761)</f>
        <v>machine_room_v4Spot Cam - PTZ - 40 spot-cam-ptz.jpg</v>
      </c>
    </row>
    <row r="762" s="7" customFormat="true" ht="15.75" hidden="true" customHeight="true" outlineLevel="0" collapsed="false">
      <c r="A762" s="7" t="s">
        <v>20</v>
      </c>
      <c r="B762" s="7" t="s">
        <v>405</v>
      </c>
      <c r="C762" s="7" t="s">
        <v>163</v>
      </c>
      <c r="D762" s="10" t="s">
        <v>548</v>
      </c>
      <c r="E762" s="7" t="s">
        <v>552</v>
      </c>
      <c r="F762" s="7" t="s">
        <v>161</v>
      </c>
      <c r="G762" s="7" t="s">
        <v>102</v>
      </c>
      <c r="T762" s="7" t="str">
        <f aca="false">_xlfn.TEXTJOIN( , ,B762,C762)</f>
        <v>machine_room_v4Spot Cam - PTZ - 40 spot-cam-ptz.jpg</v>
      </c>
    </row>
    <row r="763" s="7" customFormat="true" ht="15.75" hidden="true" customHeight="true" outlineLevel="0" collapsed="false">
      <c r="A763" s="7" t="s">
        <v>20</v>
      </c>
      <c r="B763" s="7" t="s">
        <v>405</v>
      </c>
      <c r="C763" s="7" t="s">
        <v>163</v>
      </c>
      <c r="D763" s="10" t="s">
        <v>548</v>
      </c>
      <c r="E763" s="7" t="s">
        <v>553</v>
      </c>
      <c r="F763" s="7" t="s">
        <v>161</v>
      </c>
      <c r="G763" s="7" t="s">
        <v>102</v>
      </c>
      <c r="T763" s="7" t="str">
        <f aca="false">_xlfn.TEXTJOIN( , ,B763,C763)</f>
        <v>machine_room_v4Spot Cam - PTZ - 40 spot-cam-ptz.jpg</v>
      </c>
    </row>
    <row r="764" s="7" customFormat="true" ht="15.75" hidden="true" customHeight="true" outlineLevel="0" collapsed="false">
      <c r="A764" s="7" t="s">
        <v>20</v>
      </c>
      <c r="B764" s="7" t="s">
        <v>405</v>
      </c>
      <c r="C764" s="7" t="s">
        <v>163</v>
      </c>
      <c r="D764" s="10" t="s">
        <v>548</v>
      </c>
      <c r="E764" s="7" t="s">
        <v>554</v>
      </c>
      <c r="F764" s="7" t="s">
        <v>161</v>
      </c>
      <c r="G764" s="7" t="s">
        <v>102</v>
      </c>
      <c r="T764" s="7" t="str">
        <f aca="false">_xlfn.TEXTJOIN( , ,B764,C764)</f>
        <v>machine_room_v4Spot Cam - PTZ - 40 spot-cam-ptz.jpg</v>
      </c>
    </row>
    <row r="765" s="7" customFormat="true" ht="15.75" hidden="true" customHeight="true" outlineLevel="0" collapsed="false">
      <c r="A765" s="7" t="s">
        <v>20</v>
      </c>
      <c r="B765" s="7" t="s">
        <v>405</v>
      </c>
      <c r="C765" s="7" t="s">
        <v>163</v>
      </c>
      <c r="D765" s="10" t="s">
        <v>548</v>
      </c>
      <c r="E765" s="7" t="s">
        <v>555</v>
      </c>
      <c r="F765" s="7" t="s">
        <v>161</v>
      </c>
      <c r="G765" s="7" t="s">
        <v>102</v>
      </c>
      <c r="T765" s="7" t="str">
        <f aca="false">_xlfn.TEXTJOIN( , ,B765,C765)</f>
        <v>machine_room_v4Spot Cam - PTZ - 40 spot-cam-ptz.jpg</v>
      </c>
    </row>
    <row r="766" s="7" customFormat="true" ht="15.75" hidden="true" customHeight="true" outlineLevel="0" collapsed="false">
      <c r="A766" s="7" t="s">
        <v>20</v>
      </c>
      <c r="B766" s="7" t="s">
        <v>405</v>
      </c>
      <c r="C766" s="7" t="s">
        <v>163</v>
      </c>
      <c r="D766" s="10" t="s">
        <v>548</v>
      </c>
      <c r="E766" s="7" t="s">
        <v>556</v>
      </c>
      <c r="F766" s="7" t="s">
        <v>161</v>
      </c>
      <c r="G766" s="7" t="s">
        <v>102</v>
      </c>
      <c r="T766" s="7" t="str">
        <f aca="false">_xlfn.TEXTJOIN( , ,B766,C766)</f>
        <v>machine_room_v4Spot Cam - PTZ - 40 spot-cam-ptz.jpg</v>
      </c>
    </row>
    <row r="767" s="7" customFormat="true" ht="15.75" hidden="true" customHeight="true" outlineLevel="0" collapsed="false">
      <c r="A767" s="7" t="s">
        <v>20</v>
      </c>
      <c r="B767" s="7" t="s">
        <v>405</v>
      </c>
      <c r="C767" s="7" t="s">
        <v>163</v>
      </c>
      <c r="D767" s="10" t="s">
        <v>548</v>
      </c>
      <c r="E767" s="7" t="s">
        <v>557</v>
      </c>
      <c r="F767" s="7" t="s">
        <v>161</v>
      </c>
      <c r="G767" s="7" t="s">
        <v>102</v>
      </c>
      <c r="T767" s="7" t="str">
        <f aca="false">_xlfn.TEXTJOIN( , ,B767,C767)</f>
        <v>machine_room_v4Spot Cam - PTZ - 40 spot-cam-ptz.jpg</v>
      </c>
    </row>
    <row r="768" s="7" customFormat="true" ht="15.75" hidden="true" customHeight="true" outlineLevel="0" collapsed="false">
      <c r="A768" s="7" t="s">
        <v>20</v>
      </c>
      <c r="B768" s="7" t="s">
        <v>405</v>
      </c>
      <c r="C768" s="7" t="s">
        <v>163</v>
      </c>
      <c r="D768" s="10" t="s">
        <v>548</v>
      </c>
      <c r="E768" s="7" t="s">
        <v>559</v>
      </c>
      <c r="F768" s="7" t="s">
        <v>161</v>
      </c>
      <c r="G768" s="7" t="s">
        <v>102</v>
      </c>
      <c r="T768" s="7" t="str">
        <f aca="false">_xlfn.TEXTJOIN( , ,B768,C768)</f>
        <v>machine_room_v4Spot Cam - PTZ - 40 spot-cam-ptz.jpg</v>
      </c>
    </row>
    <row r="769" s="7" customFormat="true" ht="15.75" hidden="true" customHeight="true" outlineLevel="0" collapsed="false">
      <c r="A769" s="7" t="s">
        <v>20</v>
      </c>
      <c r="B769" s="7" t="s">
        <v>405</v>
      </c>
      <c r="C769" s="7" t="s">
        <v>163</v>
      </c>
      <c r="D769" s="10" t="s">
        <v>548</v>
      </c>
      <c r="E769" s="7" t="s">
        <v>406</v>
      </c>
      <c r="F769" s="7" t="s">
        <v>532</v>
      </c>
      <c r="G769" s="7" t="s">
        <v>102</v>
      </c>
      <c r="T769" s="7" t="str">
        <f aca="false">_xlfn.TEXTJOIN( , ,B769,C769)</f>
        <v>machine_room_v4Spot Cam - PTZ - 40 spot-cam-ptz.jpg</v>
      </c>
    </row>
    <row r="770" s="7" customFormat="true" ht="15.75" hidden="true" customHeight="true" outlineLevel="0" collapsed="false">
      <c r="A770" s="7" t="s">
        <v>20</v>
      </c>
      <c r="B770" s="7" t="s">
        <v>405</v>
      </c>
      <c r="C770" s="7" t="s">
        <v>163</v>
      </c>
      <c r="D770" s="10" t="s">
        <v>548</v>
      </c>
      <c r="E770" s="7" t="s">
        <v>561</v>
      </c>
      <c r="F770" s="7" t="s">
        <v>532</v>
      </c>
      <c r="G770" s="7" t="s">
        <v>102</v>
      </c>
      <c r="T770" s="7" t="str">
        <f aca="false">_xlfn.TEXTJOIN( , ,B770,C770)</f>
        <v>machine_room_v4Spot Cam - PTZ - 40 spot-cam-ptz.jpg</v>
      </c>
    </row>
    <row r="771" s="7" customFormat="true" ht="15.75" hidden="true" customHeight="true" outlineLevel="0" collapsed="false">
      <c r="A771" s="7" t="s">
        <v>20</v>
      </c>
      <c r="B771" s="7" t="s">
        <v>405</v>
      </c>
      <c r="C771" s="7" t="s">
        <v>163</v>
      </c>
      <c r="D771" s="10" t="s">
        <v>548</v>
      </c>
      <c r="E771" s="7" t="s">
        <v>549</v>
      </c>
      <c r="F771" s="7" t="s">
        <v>532</v>
      </c>
      <c r="G771" s="7" t="s">
        <v>102</v>
      </c>
      <c r="T771" s="7" t="str">
        <f aca="false">_xlfn.TEXTJOIN( , ,B771,C771)</f>
        <v>machine_room_v4Spot Cam - PTZ - 40 spot-cam-ptz.jpg</v>
      </c>
    </row>
    <row r="772" s="7" customFormat="true" ht="15.75" hidden="true" customHeight="true" outlineLevel="0" collapsed="false">
      <c r="A772" s="7" t="s">
        <v>20</v>
      </c>
      <c r="B772" s="7" t="s">
        <v>405</v>
      </c>
      <c r="C772" s="7" t="s">
        <v>163</v>
      </c>
      <c r="D772" s="10" t="s">
        <v>548</v>
      </c>
      <c r="E772" s="7" t="s">
        <v>551</v>
      </c>
      <c r="F772" s="7" t="s">
        <v>532</v>
      </c>
      <c r="G772" s="7" t="s">
        <v>102</v>
      </c>
      <c r="T772" s="7" t="str">
        <f aca="false">_xlfn.TEXTJOIN( , ,B772,C772)</f>
        <v>machine_room_v4Spot Cam - PTZ - 40 spot-cam-ptz.jpg</v>
      </c>
    </row>
    <row r="773" s="7" customFormat="true" ht="15.75" hidden="true" customHeight="true" outlineLevel="0" collapsed="false">
      <c r="A773" s="7" t="s">
        <v>20</v>
      </c>
      <c r="B773" s="7" t="s">
        <v>405</v>
      </c>
      <c r="C773" s="7" t="s">
        <v>163</v>
      </c>
      <c r="D773" s="10" t="s">
        <v>548</v>
      </c>
      <c r="E773" s="7" t="s">
        <v>552</v>
      </c>
      <c r="F773" s="7" t="s">
        <v>532</v>
      </c>
      <c r="G773" s="7" t="s">
        <v>102</v>
      </c>
      <c r="T773" s="7" t="str">
        <f aca="false">_xlfn.TEXTJOIN( , ,B773,C773)</f>
        <v>machine_room_v4Spot Cam - PTZ - 40 spot-cam-ptz.jpg</v>
      </c>
    </row>
    <row r="774" s="7" customFormat="true" ht="15.75" hidden="true" customHeight="true" outlineLevel="0" collapsed="false">
      <c r="A774" s="7" t="s">
        <v>20</v>
      </c>
      <c r="B774" s="7" t="s">
        <v>405</v>
      </c>
      <c r="C774" s="7" t="s">
        <v>163</v>
      </c>
      <c r="D774" s="10" t="s">
        <v>548</v>
      </c>
      <c r="E774" s="7" t="s">
        <v>553</v>
      </c>
      <c r="F774" s="7" t="s">
        <v>532</v>
      </c>
      <c r="G774" s="7" t="s">
        <v>102</v>
      </c>
      <c r="T774" s="7" t="str">
        <f aca="false">_xlfn.TEXTJOIN( , ,B774,C774)</f>
        <v>machine_room_v4Spot Cam - PTZ - 40 spot-cam-ptz.jpg</v>
      </c>
    </row>
    <row r="775" s="7" customFormat="true" ht="15.75" hidden="true" customHeight="true" outlineLevel="0" collapsed="false">
      <c r="A775" s="7" t="s">
        <v>20</v>
      </c>
      <c r="B775" s="7" t="s">
        <v>405</v>
      </c>
      <c r="C775" s="7" t="s">
        <v>163</v>
      </c>
      <c r="D775" s="10" t="s">
        <v>548</v>
      </c>
      <c r="E775" s="7" t="s">
        <v>554</v>
      </c>
      <c r="F775" s="7" t="s">
        <v>532</v>
      </c>
      <c r="G775" s="7" t="s">
        <v>102</v>
      </c>
      <c r="T775" s="7" t="str">
        <f aca="false">_xlfn.TEXTJOIN( , ,B775,C775)</f>
        <v>machine_room_v4Spot Cam - PTZ - 40 spot-cam-ptz.jpg</v>
      </c>
    </row>
    <row r="776" s="7" customFormat="true" ht="15.75" hidden="true" customHeight="true" outlineLevel="0" collapsed="false">
      <c r="A776" s="7" t="s">
        <v>20</v>
      </c>
      <c r="B776" s="7" t="s">
        <v>405</v>
      </c>
      <c r="C776" s="7" t="s">
        <v>163</v>
      </c>
      <c r="D776" s="10" t="s">
        <v>548</v>
      </c>
      <c r="E776" s="7" t="s">
        <v>555</v>
      </c>
      <c r="F776" s="7" t="s">
        <v>532</v>
      </c>
      <c r="G776" s="7" t="s">
        <v>102</v>
      </c>
      <c r="T776" s="7" t="str">
        <f aca="false">_xlfn.TEXTJOIN( , ,B776,C776)</f>
        <v>machine_room_v4Spot Cam - PTZ - 40 spot-cam-ptz.jpg</v>
      </c>
    </row>
    <row r="777" s="7" customFormat="true" ht="15.75" hidden="true" customHeight="true" outlineLevel="0" collapsed="false">
      <c r="A777" s="7" t="s">
        <v>20</v>
      </c>
      <c r="B777" s="7" t="s">
        <v>405</v>
      </c>
      <c r="C777" s="7" t="s">
        <v>163</v>
      </c>
      <c r="D777" s="10" t="s">
        <v>548</v>
      </c>
      <c r="E777" s="7" t="s">
        <v>556</v>
      </c>
      <c r="F777" s="7" t="s">
        <v>532</v>
      </c>
      <c r="G777" s="7" t="s">
        <v>102</v>
      </c>
      <c r="T777" s="7" t="str">
        <f aca="false">_xlfn.TEXTJOIN( , ,B777,C777)</f>
        <v>machine_room_v4Spot Cam - PTZ - 40 spot-cam-ptz.jpg</v>
      </c>
    </row>
    <row r="778" s="7" customFormat="true" ht="15.75" hidden="true" customHeight="true" outlineLevel="0" collapsed="false">
      <c r="A778" s="7" t="s">
        <v>20</v>
      </c>
      <c r="B778" s="7" t="s">
        <v>405</v>
      </c>
      <c r="C778" s="7" t="s">
        <v>163</v>
      </c>
      <c r="D778" s="10" t="s">
        <v>548</v>
      </c>
      <c r="E778" s="7" t="s">
        <v>557</v>
      </c>
      <c r="F778" s="7" t="s">
        <v>532</v>
      </c>
      <c r="G778" s="7" t="s">
        <v>102</v>
      </c>
      <c r="T778" s="7" t="str">
        <f aca="false">_xlfn.TEXTJOIN( , ,B778,C778)</f>
        <v>machine_room_v4Spot Cam - PTZ - 40 spot-cam-ptz.jpg</v>
      </c>
    </row>
    <row r="779" s="7" customFormat="true" ht="15.75" hidden="true" customHeight="true" outlineLevel="0" collapsed="false">
      <c r="A779" s="7" t="s">
        <v>20</v>
      </c>
      <c r="B779" s="7" t="s">
        <v>405</v>
      </c>
      <c r="C779" s="7" t="s">
        <v>163</v>
      </c>
      <c r="D779" s="10" t="s">
        <v>548</v>
      </c>
      <c r="E779" s="7" t="s">
        <v>559</v>
      </c>
      <c r="F779" s="7" t="s">
        <v>532</v>
      </c>
      <c r="G779" s="7" t="s">
        <v>102</v>
      </c>
      <c r="T779" s="7" t="str">
        <f aca="false">_xlfn.TEXTJOIN( , ,B779,C779)</f>
        <v>machine_room_v4Spot Cam - PTZ - 40 spot-cam-ptz.jpg</v>
      </c>
    </row>
    <row r="780" s="7" customFormat="true" ht="15.75" hidden="false" customHeight="true" outlineLevel="0" collapsed="false">
      <c r="A780" s="7" t="s">
        <v>20</v>
      </c>
      <c r="B780" s="7" t="s">
        <v>405</v>
      </c>
      <c r="C780" s="7" t="s">
        <v>165</v>
      </c>
      <c r="D780" s="10" t="s">
        <v>548</v>
      </c>
      <c r="E780" s="7" t="s">
        <v>564</v>
      </c>
      <c r="F780" s="7" t="s">
        <v>511</v>
      </c>
      <c r="G780" s="7" t="s">
        <v>44</v>
      </c>
      <c r="J780" s="7" t="n">
        <v>0</v>
      </c>
      <c r="L780" s="7" t="n">
        <v>0</v>
      </c>
      <c r="N780" s="7" t="s">
        <v>565</v>
      </c>
      <c r="O780" s="7" t="s">
        <v>528</v>
      </c>
      <c r="P780" s="8" t="s">
        <v>514</v>
      </c>
      <c r="S780" s="11" t="s">
        <v>515</v>
      </c>
      <c r="T780" s="7" t="str">
        <f aca="false">_xlfn.TEXTJOIN( , ,B780,C780)</f>
        <v>machine_room_v4Spot Cam - PTZ - 41 spot-cam-ptz.jpg</v>
      </c>
    </row>
    <row r="781" s="7" customFormat="true" ht="15.75" hidden="false" customHeight="true" outlineLevel="0" collapsed="false">
      <c r="A781" s="7" t="s">
        <v>20</v>
      </c>
      <c r="B781" s="7" t="s">
        <v>405</v>
      </c>
      <c r="C781" s="7" t="s">
        <v>165</v>
      </c>
      <c r="D781" s="10" t="s">
        <v>548</v>
      </c>
      <c r="E781" s="7" t="s">
        <v>566</v>
      </c>
      <c r="F781" s="7" t="s">
        <v>511</v>
      </c>
      <c r="G781" s="7" t="s">
        <v>44</v>
      </c>
      <c r="J781" s="7" t="n">
        <v>0</v>
      </c>
      <c r="K781" s="7" t="n">
        <v>0</v>
      </c>
      <c r="L781" s="7" t="n">
        <v>0</v>
      </c>
      <c r="M781" s="7" t="n">
        <v>0</v>
      </c>
      <c r="N781" s="7" t="s">
        <v>512</v>
      </c>
      <c r="O781" s="7" t="s">
        <v>528</v>
      </c>
      <c r="P781" s="8" t="s">
        <v>514</v>
      </c>
      <c r="S781" s="11" t="s">
        <v>515</v>
      </c>
      <c r="T781" s="7" t="str">
        <f aca="false">_xlfn.TEXTJOIN( , ,B781,C781)</f>
        <v>machine_room_v4Spot Cam - PTZ - 41 spot-cam-ptz.jpg</v>
      </c>
    </row>
    <row r="782" s="7" customFormat="true" ht="15.75" hidden="false" customHeight="true" outlineLevel="0" collapsed="false">
      <c r="A782" s="7" t="s">
        <v>20</v>
      </c>
      <c r="B782" s="7" t="s">
        <v>405</v>
      </c>
      <c r="C782" s="7" t="s">
        <v>165</v>
      </c>
      <c r="D782" s="10" t="s">
        <v>548</v>
      </c>
      <c r="E782" s="7" t="s">
        <v>567</v>
      </c>
      <c r="F782" s="7" t="s">
        <v>511</v>
      </c>
      <c r="G782" s="7" t="s">
        <v>44</v>
      </c>
      <c r="J782" s="7" t="n">
        <v>0</v>
      </c>
      <c r="K782" s="7" t="n">
        <v>0</v>
      </c>
      <c r="L782" s="7" t="n">
        <v>0</v>
      </c>
      <c r="M782" s="7" t="n">
        <v>0</v>
      </c>
      <c r="N782" s="7" t="s">
        <v>512</v>
      </c>
      <c r="O782" s="7" t="s">
        <v>528</v>
      </c>
      <c r="P782" s="8" t="s">
        <v>514</v>
      </c>
      <c r="S782" s="11" t="s">
        <v>515</v>
      </c>
      <c r="T782" s="7" t="str">
        <f aca="false">_xlfn.TEXTJOIN( , ,B782,C782)</f>
        <v>machine_room_v4Spot Cam - PTZ - 41 spot-cam-ptz.jpg</v>
      </c>
    </row>
    <row r="783" s="7" customFormat="true" ht="15.75" hidden="false" customHeight="true" outlineLevel="0" collapsed="false">
      <c r="A783" s="7" t="s">
        <v>20</v>
      </c>
      <c r="B783" s="7" t="s">
        <v>405</v>
      </c>
      <c r="C783" s="7" t="s">
        <v>165</v>
      </c>
      <c r="D783" s="10" t="s">
        <v>548</v>
      </c>
      <c r="E783" s="7" t="s">
        <v>568</v>
      </c>
      <c r="F783" s="7" t="s">
        <v>511</v>
      </c>
      <c r="G783" s="7" t="s">
        <v>44</v>
      </c>
      <c r="J783" s="7" t="n">
        <v>0</v>
      </c>
      <c r="K783" s="7" t="n">
        <v>0</v>
      </c>
      <c r="L783" s="7" t="n">
        <v>0</v>
      </c>
      <c r="M783" s="7" t="n">
        <v>0</v>
      </c>
      <c r="N783" s="7" t="s">
        <v>512</v>
      </c>
      <c r="O783" s="7" t="s">
        <v>528</v>
      </c>
      <c r="P783" s="8" t="s">
        <v>514</v>
      </c>
      <c r="S783" s="11" t="s">
        <v>515</v>
      </c>
      <c r="T783" s="7" t="str">
        <f aca="false">_xlfn.TEXTJOIN( , ,B783,C783)</f>
        <v>machine_room_v4Spot Cam - PTZ - 41 spot-cam-ptz.jpg</v>
      </c>
    </row>
    <row r="784" s="7" customFormat="true" ht="15.75" hidden="false" customHeight="true" outlineLevel="0" collapsed="false">
      <c r="A784" s="7" t="s">
        <v>20</v>
      </c>
      <c r="B784" s="7" t="s">
        <v>405</v>
      </c>
      <c r="C784" s="7" t="s">
        <v>165</v>
      </c>
      <c r="D784" s="10" t="s">
        <v>548</v>
      </c>
      <c r="E784" s="7" t="s">
        <v>569</v>
      </c>
      <c r="F784" s="7" t="s">
        <v>511</v>
      </c>
      <c r="G784" s="7" t="s">
        <v>44</v>
      </c>
      <c r="J784" s="7" t="n">
        <v>0</v>
      </c>
      <c r="K784" s="7" t="n">
        <v>0</v>
      </c>
      <c r="L784" s="7" t="n">
        <v>0</v>
      </c>
      <c r="M784" s="7" t="n">
        <v>0</v>
      </c>
      <c r="N784" s="7" t="s">
        <v>512</v>
      </c>
      <c r="O784" s="7" t="s">
        <v>528</v>
      </c>
      <c r="P784" s="8" t="s">
        <v>514</v>
      </c>
      <c r="S784" s="11" t="s">
        <v>515</v>
      </c>
      <c r="T784" s="7" t="str">
        <f aca="false">_xlfn.TEXTJOIN( , ,B784,C784)</f>
        <v>machine_room_v4Spot Cam - PTZ - 41 spot-cam-ptz.jpg</v>
      </c>
    </row>
    <row r="785" s="7" customFormat="true" ht="15.75" hidden="false" customHeight="true" outlineLevel="0" collapsed="false">
      <c r="A785" s="7" t="s">
        <v>20</v>
      </c>
      <c r="B785" s="7" t="s">
        <v>405</v>
      </c>
      <c r="C785" s="7" t="s">
        <v>165</v>
      </c>
      <c r="D785" s="10" t="s">
        <v>548</v>
      </c>
      <c r="E785" s="7" t="s">
        <v>570</v>
      </c>
      <c r="F785" s="7" t="s">
        <v>511</v>
      </c>
      <c r="G785" s="7" t="s">
        <v>44</v>
      </c>
      <c r="J785" s="7" t="n">
        <v>0</v>
      </c>
      <c r="K785" s="7" t="n">
        <v>0</v>
      </c>
      <c r="L785" s="7" t="n">
        <v>0</v>
      </c>
      <c r="M785" s="7" t="n">
        <v>0</v>
      </c>
      <c r="N785" s="7" t="s">
        <v>512</v>
      </c>
      <c r="O785" s="7" t="s">
        <v>528</v>
      </c>
      <c r="P785" s="8" t="s">
        <v>514</v>
      </c>
      <c r="S785" s="11" t="s">
        <v>515</v>
      </c>
      <c r="T785" s="7" t="str">
        <f aca="false">_xlfn.TEXTJOIN( , ,B785,C785)</f>
        <v>machine_room_v4Spot Cam - PTZ - 41 spot-cam-ptz.jpg</v>
      </c>
    </row>
    <row r="786" s="7" customFormat="true" ht="15.75" hidden="false" customHeight="true" outlineLevel="0" collapsed="false">
      <c r="A786" s="7" t="s">
        <v>20</v>
      </c>
      <c r="B786" s="7" t="s">
        <v>405</v>
      </c>
      <c r="C786" s="7" t="s">
        <v>165</v>
      </c>
      <c r="D786" s="10" t="s">
        <v>548</v>
      </c>
      <c r="E786" s="7" t="s">
        <v>571</v>
      </c>
      <c r="F786" s="7" t="s">
        <v>511</v>
      </c>
      <c r="G786" s="7" t="s">
        <v>44</v>
      </c>
      <c r="J786" s="7" t="n">
        <v>0</v>
      </c>
      <c r="K786" s="7" t="n">
        <v>0</v>
      </c>
      <c r="L786" s="7" t="n">
        <v>0</v>
      </c>
      <c r="M786" s="7" t="n">
        <v>0</v>
      </c>
      <c r="N786" s="7" t="s">
        <v>512</v>
      </c>
      <c r="O786" s="7" t="s">
        <v>528</v>
      </c>
      <c r="P786" s="8" t="s">
        <v>514</v>
      </c>
      <c r="S786" s="11" t="s">
        <v>515</v>
      </c>
      <c r="T786" s="7" t="str">
        <f aca="false">_xlfn.TEXTJOIN( , ,B786,C786)</f>
        <v>machine_room_v4Spot Cam - PTZ - 41 spot-cam-ptz.jpg</v>
      </c>
    </row>
    <row r="787" s="7" customFormat="true" ht="15.75" hidden="false" customHeight="true" outlineLevel="0" collapsed="false">
      <c r="A787" s="7" t="s">
        <v>20</v>
      </c>
      <c r="B787" s="7" t="s">
        <v>405</v>
      </c>
      <c r="C787" s="7" t="s">
        <v>165</v>
      </c>
      <c r="D787" s="10" t="s">
        <v>548</v>
      </c>
      <c r="E787" s="7" t="s">
        <v>572</v>
      </c>
      <c r="F787" s="7" t="s">
        <v>511</v>
      </c>
      <c r="G787" s="7" t="s">
        <v>44</v>
      </c>
      <c r="J787" s="7" t="n">
        <v>0</v>
      </c>
      <c r="K787" s="7" t="n">
        <v>0</v>
      </c>
      <c r="L787" s="7" t="n">
        <v>0</v>
      </c>
      <c r="M787" s="7" t="n">
        <v>0</v>
      </c>
      <c r="N787" s="7" t="s">
        <v>512</v>
      </c>
      <c r="O787" s="7" t="s">
        <v>528</v>
      </c>
      <c r="P787" s="8" t="s">
        <v>514</v>
      </c>
      <c r="S787" s="11" t="s">
        <v>515</v>
      </c>
      <c r="T787" s="7" t="str">
        <f aca="false">_xlfn.TEXTJOIN( , ,B787,C787)</f>
        <v>machine_room_v4Spot Cam - PTZ - 41 spot-cam-ptz.jpg</v>
      </c>
    </row>
    <row r="788" s="7" customFormat="true" ht="15.75" hidden="false" customHeight="true" outlineLevel="0" collapsed="false">
      <c r="A788" s="7" t="s">
        <v>20</v>
      </c>
      <c r="B788" s="7" t="s">
        <v>405</v>
      </c>
      <c r="C788" s="7" t="s">
        <v>165</v>
      </c>
      <c r="D788" s="10" t="s">
        <v>548</v>
      </c>
      <c r="E788" s="7" t="s">
        <v>573</v>
      </c>
      <c r="F788" s="7" t="s">
        <v>511</v>
      </c>
      <c r="G788" s="7" t="s">
        <v>44</v>
      </c>
      <c r="J788" s="7" t="n">
        <v>0</v>
      </c>
      <c r="L788" s="7" t="n">
        <v>0</v>
      </c>
      <c r="N788" s="7" t="s">
        <v>550</v>
      </c>
      <c r="O788" s="7" t="s">
        <v>528</v>
      </c>
      <c r="P788" s="8" t="s">
        <v>514</v>
      </c>
      <c r="S788" s="11" t="s">
        <v>515</v>
      </c>
      <c r="T788" s="7" t="str">
        <f aca="false">_xlfn.TEXTJOIN( , ,B788,C788)</f>
        <v>machine_room_v4Spot Cam - PTZ - 41 spot-cam-ptz.jpg</v>
      </c>
    </row>
    <row r="789" s="7" customFormat="true" ht="15.75" hidden="false" customHeight="true" outlineLevel="0" collapsed="false">
      <c r="A789" s="7" t="s">
        <v>20</v>
      </c>
      <c r="B789" s="7" t="s">
        <v>405</v>
      </c>
      <c r="C789" s="7" t="s">
        <v>165</v>
      </c>
      <c r="D789" s="10" t="s">
        <v>548</v>
      </c>
      <c r="E789" s="7" t="s">
        <v>574</v>
      </c>
      <c r="F789" s="7" t="s">
        <v>511</v>
      </c>
      <c r="G789" s="7" t="s">
        <v>44</v>
      </c>
      <c r="J789" s="7" t="n">
        <v>0</v>
      </c>
      <c r="L789" s="7" t="n">
        <v>0</v>
      </c>
      <c r="N789" s="7" t="s">
        <v>558</v>
      </c>
      <c r="O789" s="7" t="s">
        <v>528</v>
      </c>
      <c r="P789" s="8" t="s">
        <v>514</v>
      </c>
      <c r="S789" s="11" t="s">
        <v>515</v>
      </c>
      <c r="T789" s="7" t="str">
        <f aca="false">_xlfn.TEXTJOIN( , ,B789,C789)</f>
        <v>machine_room_v4Spot Cam - PTZ - 41 spot-cam-ptz.jpg</v>
      </c>
    </row>
    <row r="790" s="7" customFormat="true" ht="15.75" hidden="false" customHeight="true" outlineLevel="0" collapsed="false">
      <c r="A790" s="7" t="s">
        <v>20</v>
      </c>
      <c r="B790" s="7" t="s">
        <v>405</v>
      </c>
      <c r="C790" s="7" t="s">
        <v>165</v>
      </c>
      <c r="D790" s="10" t="s">
        <v>548</v>
      </c>
      <c r="E790" s="7" t="s">
        <v>575</v>
      </c>
      <c r="F790" s="7" t="s">
        <v>511</v>
      </c>
      <c r="G790" s="7" t="s">
        <v>44</v>
      </c>
      <c r="J790" s="7" t="n">
        <v>0</v>
      </c>
      <c r="K790" s="7" t="n">
        <v>0</v>
      </c>
      <c r="L790" s="7" t="n">
        <v>0</v>
      </c>
      <c r="M790" s="7" t="n">
        <v>0</v>
      </c>
      <c r="N790" s="7" t="s">
        <v>512</v>
      </c>
      <c r="O790" s="7" t="s">
        <v>528</v>
      </c>
      <c r="P790" s="8" t="s">
        <v>514</v>
      </c>
      <c r="S790" s="11" t="s">
        <v>515</v>
      </c>
      <c r="T790" s="7" t="str">
        <f aca="false">_xlfn.TEXTJOIN( , ,B790,C790)</f>
        <v>machine_room_v4Spot Cam - PTZ - 41 spot-cam-ptz.jpg</v>
      </c>
    </row>
    <row r="791" s="7" customFormat="true" ht="15.75" hidden="false" customHeight="true" outlineLevel="0" collapsed="false">
      <c r="A791" s="7" t="s">
        <v>20</v>
      </c>
      <c r="B791" s="7" t="s">
        <v>405</v>
      </c>
      <c r="C791" s="7" t="s">
        <v>165</v>
      </c>
      <c r="D791" s="10" t="s">
        <v>548</v>
      </c>
      <c r="E791" s="7" t="s">
        <v>576</v>
      </c>
      <c r="F791" s="7" t="s">
        <v>511</v>
      </c>
      <c r="G791" s="7" t="s">
        <v>44</v>
      </c>
      <c r="J791" s="7" t="n">
        <v>0</v>
      </c>
      <c r="L791" s="7" t="n">
        <v>0</v>
      </c>
      <c r="N791" s="7" t="s">
        <v>550</v>
      </c>
      <c r="O791" s="7" t="s">
        <v>528</v>
      </c>
      <c r="P791" s="8" t="s">
        <v>514</v>
      </c>
      <c r="S791" s="11" t="s">
        <v>515</v>
      </c>
      <c r="T791" s="7" t="str">
        <f aca="false">_xlfn.TEXTJOIN( , ,B791,C791)</f>
        <v>machine_room_v4Spot Cam - PTZ - 41 spot-cam-ptz.jpg</v>
      </c>
    </row>
    <row r="792" s="7" customFormat="true" ht="15.75" hidden="false" customHeight="true" outlineLevel="0" collapsed="false">
      <c r="A792" s="7" t="s">
        <v>20</v>
      </c>
      <c r="B792" s="7" t="s">
        <v>405</v>
      </c>
      <c r="C792" s="7" t="s">
        <v>165</v>
      </c>
      <c r="D792" s="10" t="s">
        <v>548</v>
      </c>
      <c r="E792" s="7" t="s">
        <v>577</v>
      </c>
      <c r="F792" s="7" t="s">
        <v>511</v>
      </c>
      <c r="G792" s="7" t="s">
        <v>44</v>
      </c>
      <c r="J792" s="7" t="n">
        <v>0</v>
      </c>
      <c r="K792" s="7" t="n">
        <v>0</v>
      </c>
      <c r="L792" s="7" t="n">
        <v>0</v>
      </c>
      <c r="M792" s="7" t="n">
        <v>0</v>
      </c>
      <c r="N792" s="7" t="s">
        <v>512</v>
      </c>
      <c r="O792" s="7" t="s">
        <v>528</v>
      </c>
      <c r="P792" s="8" t="s">
        <v>514</v>
      </c>
      <c r="S792" s="11" t="s">
        <v>515</v>
      </c>
      <c r="T792" s="7" t="str">
        <f aca="false">_xlfn.TEXTJOIN( , ,B792,C792)</f>
        <v>machine_room_v4Spot Cam - PTZ - 41 spot-cam-ptz.jpg</v>
      </c>
    </row>
    <row r="793" s="7" customFormat="true" ht="15.75" hidden="true" customHeight="true" outlineLevel="0" collapsed="false">
      <c r="A793" s="7" t="s">
        <v>20</v>
      </c>
      <c r="B793" s="7" t="s">
        <v>405</v>
      </c>
      <c r="C793" s="7" t="s">
        <v>165</v>
      </c>
      <c r="D793" s="10" t="s">
        <v>548</v>
      </c>
      <c r="E793" s="7" t="s">
        <v>564</v>
      </c>
      <c r="F793" s="7" t="s">
        <v>526</v>
      </c>
      <c r="G793" s="7" t="s">
        <v>78</v>
      </c>
      <c r="T793" s="7" t="str">
        <f aca="false">_xlfn.TEXTJOIN( , ,B793,C793)</f>
        <v>machine_room_v4Spot Cam - PTZ - 41 spot-cam-ptz.jpg</v>
      </c>
    </row>
    <row r="794" s="7" customFormat="true" ht="15.75" hidden="true" customHeight="true" outlineLevel="0" collapsed="false">
      <c r="A794" s="7" t="s">
        <v>20</v>
      </c>
      <c r="B794" s="7" t="s">
        <v>405</v>
      </c>
      <c r="C794" s="7" t="s">
        <v>165</v>
      </c>
      <c r="D794" s="10" t="s">
        <v>548</v>
      </c>
      <c r="E794" s="7" t="s">
        <v>566</v>
      </c>
      <c r="F794" s="7" t="s">
        <v>526</v>
      </c>
      <c r="G794" s="7" t="s">
        <v>78</v>
      </c>
      <c r="T794" s="7" t="str">
        <f aca="false">_xlfn.TEXTJOIN( , ,B794,C794)</f>
        <v>machine_room_v4Spot Cam - PTZ - 41 spot-cam-ptz.jpg</v>
      </c>
    </row>
    <row r="795" s="7" customFormat="true" ht="15.75" hidden="true" customHeight="true" outlineLevel="0" collapsed="false">
      <c r="A795" s="7" t="s">
        <v>20</v>
      </c>
      <c r="B795" s="7" t="s">
        <v>405</v>
      </c>
      <c r="C795" s="7" t="s">
        <v>165</v>
      </c>
      <c r="D795" s="10" t="s">
        <v>548</v>
      </c>
      <c r="E795" s="7" t="s">
        <v>567</v>
      </c>
      <c r="F795" s="7" t="s">
        <v>526</v>
      </c>
      <c r="G795" s="7" t="s">
        <v>78</v>
      </c>
      <c r="T795" s="7" t="str">
        <f aca="false">_xlfn.TEXTJOIN( , ,B795,C795)</f>
        <v>machine_room_v4Spot Cam - PTZ - 41 spot-cam-ptz.jpg</v>
      </c>
    </row>
    <row r="796" s="7" customFormat="true" ht="15.75" hidden="true" customHeight="true" outlineLevel="0" collapsed="false">
      <c r="A796" s="7" t="s">
        <v>20</v>
      </c>
      <c r="B796" s="7" t="s">
        <v>405</v>
      </c>
      <c r="C796" s="7" t="s">
        <v>165</v>
      </c>
      <c r="D796" s="10" t="s">
        <v>548</v>
      </c>
      <c r="E796" s="7" t="s">
        <v>568</v>
      </c>
      <c r="F796" s="7" t="s">
        <v>526</v>
      </c>
      <c r="G796" s="7" t="s">
        <v>78</v>
      </c>
      <c r="T796" s="7" t="str">
        <f aca="false">_xlfn.TEXTJOIN( , ,B796,C796)</f>
        <v>machine_room_v4Spot Cam - PTZ - 41 spot-cam-ptz.jpg</v>
      </c>
    </row>
    <row r="797" s="7" customFormat="true" ht="15.75" hidden="true" customHeight="true" outlineLevel="0" collapsed="false">
      <c r="A797" s="7" t="s">
        <v>20</v>
      </c>
      <c r="B797" s="7" t="s">
        <v>405</v>
      </c>
      <c r="C797" s="7" t="s">
        <v>165</v>
      </c>
      <c r="D797" s="10" t="s">
        <v>548</v>
      </c>
      <c r="E797" s="7" t="s">
        <v>569</v>
      </c>
      <c r="F797" s="7" t="s">
        <v>526</v>
      </c>
      <c r="G797" s="7" t="s">
        <v>78</v>
      </c>
      <c r="T797" s="7" t="str">
        <f aca="false">_xlfn.TEXTJOIN( , ,B797,C797)</f>
        <v>machine_room_v4Spot Cam - PTZ - 41 spot-cam-ptz.jpg</v>
      </c>
    </row>
    <row r="798" s="7" customFormat="true" ht="15.75" hidden="true" customHeight="true" outlineLevel="0" collapsed="false">
      <c r="A798" s="7" t="s">
        <v>20</v>
      </c>
      <c r="B798" s="7" t="s">
        <v>405</v>
      </c>
      <c r="C798" s="7" t="s">
        <v>165</v>
      </c>
      <c r="D798" s="10" t="s">
        <v>548</v>
      </c>
      <c r="E798" s="7" t="s">
        <v>570</v>
      </c>
      <c r="F798" s="7" t="s">
        <v>526</v>
      </c>
      <c r="G798" s="7" t="s">
        <v>78</v>
      </c>
      <c r="T798" s="7" t="str">
        <f aca="false">_xlfn.TEXTJOIN( , ,B798,C798)</f>
        <v>machine_room_v4Spot Cam - PTZ - 41 spot-cam-ptz.jpg</v>
      </c>
    </row>
    <row r="799" s="7" customFormat="true" ht="15.75" hidden="true" customHeight="true" outlineLevel="0" collapsed="false">
      <c r="A799" s="7" t="s">
        <v>20</v>
      </c>
      <c r="B799" s="7" t="s">
        <v>405</v>
      </c>
      <c r="C799" s="7" t="s">
        <v>165</v>
      </c>
      <c r="D799" s="10" t="s">
        <v>548</v>
      </c>
      <c r="E799" s="7" t="s">
        <v>571</v>
      </c>
      <c r="F799" s="7" t="s">
        <v>526</v>
      </c>
      <c r="G799" s="7" t="s">
        <v>78</v>
      </c>
      <c r="T799" s="7" t="str">
        <f aca="false">_xlfn.TEXTJOIN( , ,B799,C799)</f>
        <v>machine_room_v4Spot Cam - PTZ - 41 spot-cam-ptz.jpg</v>
      </c>
    </row>
    <row r="800" s="7" customFormat="true" ht="15.75" hidden="true" customHeight="true" outlineLevel="0" collapsed="false">
      <c r="A800" s="7" t="s">
        <v>20</v>
      </c>
      <c r="B800" s="7" t="s">
        <v>405</v>
      </c>
      <c r="C800" s="7" t="s">
        <v>165</v>
      </c>
      <c r="D800" s="10" t="s">
        <v>548</v>
      </c>
      <c r="E800" s="7" t="s">
        <v>572</v>
      </c>
      <c r="F800" s="7" t="s">
        <v>526</v>
      </c>
      <c r="G800" s="7" t="s">
        <v>78</v>
      </c>
      <c r="T800" s="7" t="str">
        <f aca="false">_xlfn.TEXTJOIN( , ,B800,C800)</f>
        <v>machine_room_v4Spot Cam - PTZ - 41 spot-cam-ptz.jpg</v>
      </c>
    </row>
    <row r="801" s="7" customFormat="true" ht="15.75" hidden="true" customHeight="true" outlineLevel="0" collapsed="false">
      <c r="A801" s="7" t="s">
        <v>20</v>
      </c>
      <c r="B801" s="7" t="s">
        <v>405</v>
      </c>
      <c r="C801" s="7" t="s">
        <v>165</v>
      </c>
      <c r="D801" s="10" t="s">
        <v>548</v>
      </c>
      <c r="E801" s="7" t="s">
        <v>573</v>
      </c>
      <c r="F801" s="7" t="s">
        <v>526</v>
      </c>
      <c r="G801" s="7" t="s">
        <v>78</v>
      </c>
      <c r="T801" s="7" t="str">
        <f aca="false">_xlfn.TEXTJOIN( , ,B801,C801)</f>
        <v>machine_room_v4Spot Cam - PTZ - 41 spot-cam-ptz.jpg</v>
      </c>
    </row>
    <row r="802" s="7" customFormat="true" ht="15.75" hidden="true" customHeight="true" outlineLevel="0" collapsed="false">
      <c r="A802" s="7" t="s">
        <v>20</v>
      </c>
      <c r="B802" s="7" t="s">
        <v>405</v>
      </c>
      <c r="C802" s="7" t="s">
        <v>165</v>
      </c>
      <c r="D802" s="10" t="s">
        <v>548</v>
      </c>
      <c r="E802" s="7" t="s">
        <v>574</v>
      </c>
      <c r="F802" s="7" t="s">
        <v>526</v>
      </c>
      <c r="G802" s="7" t="s">
        <v>78</v>
      </c>
      <c r="T802" s="7" t="str">
        <f aca="false">_xlfn.TEXTJOIN( , ,B802,C802)</f>
        <v>machine_room_v4Spot Cam - PTZ - 41 spot-cam-ptz.jpg</v>
      </c>
    </row>
    <row r="803" s="7" customFormat="true" ht="15.75" hidden="true" customHeight="true" outlineLevel="0" collapsed="false">
      <c r="A803" s="7" t="s">
        <v>20</v>
      </c>
      <c r="B803" s="7" t="s">
        <v>405</v>
      </c>
      <c r="C803" s="7" t="s">
        <v>165</v>
      </c>
      <c r="D803" s="10" t="s">
        <v>548</v>
      </c>
      <c r="E803" s="7" t="s">
        <v>575</v>
      </c>
      <c r="F803" s="7" t="s">
        <v>526</v>
      </c>
      <c r="G803" s="7" t="s">
        <v>78</v>
      </c>
      <c r="T803" s="7" t="str">
        <f aca="false">_xlfn.TEXTJOIN( , ,B803,C803)</f>
        <v>machine_room_v4Spot Cam - PTZ - 41 spot-cam-ptz.jpg</v>
      </c>
    </row>
    <row r="804" s="7" customFormat="true" ht="15.75" hidden="true" customHeight="true" outlineLevel="0" collapsed="false">
      <c r="A804" s="7" t="s">
        <v>20</v>
      </c>
      <c r="B804" s="7" t="s">
        <v>405</v>
      </c>
      <c r="C804" s="7" t="s">
        <v>165</v>
      </c>
      <c r="D804" s="10" t="s">
        <v>548</v>
      </c>
      <c r="E804" s="7" t="s">
        <v>576</v>
      </c>
      <c r="F804" s="7" t="s">
        <v>526</v>
      </c>
      <c r="G804" s="7" t="s">
        <v>78</v>
      </c>
      <c r="T804" s="7" t="str">
        <f aca="false">_xlfn.TEXTJOIN( , ,B804,C804)</f>
        <v>machine_room_v4Spot Cam - PTZ - 41 spot-cam-ptz.jpg</v>
      </c>
    </row>
    <row r="805" s="7" customFormat="true" ht="15.75" hidden="true" customHeight="true" outlineLevel="0" collapsed="false">
      <c r="A805" s="7" t="s">
        <v>20</v>
      </c>
      <c r="B805" s="7" t="s">
        <v>405</v>
      </c>
      <c r="C805" s="7" t="s">
        <v>165</v>
      </c>
      <c r="D805" s="10" t="s">
        <v>548</v>
      </c>
      <c r="E805" s="7" t="s">
        <v>577</v>
      </c>
      <c r="F805" s="7" t="s">
        <v>526</v>
      </c>
      <c r="G805" s="7" t="s">
        <v>78</v>
      </c>
      <c r="T805" s="7" t="str">
        <f aca="false">_xlfn.TEXTJOIN( , ,B805,C805)</f>
        <v>machine_room_v4Spot Cam - PTZ - 41 spot-cam-ptz.jpg</v>
      </c>
    </row>
    <row r="806" s="7" customFormat="true" ht="15.75" hidden="true" customHeight="true" outlineLevel="0" collapsed="false">
      <c r="A806" s="7" t="s">
        <v>20</v>
      </c>
      <c r="B806" s="7" t="s">
        <v>405</v>
      </c>
      <c r="C806" s="7" t="s">
        <v>165</v>
      </c>
      <c r="D806" s="10" t="s">
        <v>548</v>
      </c>
      <c r="E806" s="7" t="s">
        <v>564</v>
      </c>
      <c r="F806" s="7" t="s">
        <v>529</v>
      </c>
      <c r="G806" s="7" t="s">
        <v>78</v>
      </c>
      <c r="T806" s="7" t="str">
        <f aca="false">_xlfn.TEXTJOIN( , ,B806,C806)</f>
        <v>machine_room_v4Spot Cam - PTZ - 41 spot-cam-ptz.jpg</v>
      </c>
    </row>
    <row r="807" s="7" customFormat="true" ht="15.75" hidden="true" customHeight="true" outlineLevel="0" collapsed="false">
      <c r="A807" s="7" t="s">
        <v>20</v>
      </c>
      <c r="B807" s="7" t="s">
        <v>405</v>
      </c>
      <c r="C807" s="7" t="s">
        <v>165</v>
      </c>
      <c r="D807" s="10" t="s">
        <v>548</v>
      </c>
      <c r="E807" s="7" t="s">
        <v>566</v>
      </c>
      <c r="F807" s="7" t="s">
        <v>529</v>
      </c>
      <c r="G807" s="7" t="s">
        <v>78</v>
      </c>
      <c r="T807" s="7" t="str">
        <f aca="false">_xlfn.TEXTJOIN( , ,B807,C807)</f>
        <v>machine_room_v4Spot Cam - PTZ - 41 spot-cam-ptz.jpg</v>
      </c>
    </row>
    <row r="808" s="7" customFormat="true" ht="15.75" hidden="true" customHeight="true" outlineLevel="0" collapsed="false">
      <c r="A808" s="7" t="s">
        <v>20</v>
      </c>
      <c r="B808" s="7" t="s">
        <v>405</v>
      </c>
      <c r="C808" s="7" t="s">
        <v>165</v>
      </c>
      <c r="D808" s="10" t="s">
        <v>548</v>
      </c>
      <c r="E808" s="7" t="s">
        <v>567</v>
      </c>
      <c r="F808" s="7" t="s">
        <v>529</v>
      </c>
      <c r="G808" s="7" t="s">
        <v>78</v>
      </c>
      <c r="T808" s="7" t="str">
        <f aca="false">_xlfn.TEXTJOIN( , ,B808,C808)</f>
        <v>machine_room_v4Spot Cam - PTZ - 41 spot-cam-ptz.jpg</v>
      </c>
    </row>
    <row r="809" s="7" customFormat="true" ht="15.75" hidden="true" customHeight="true" outlineLevel="0" collapsed="false">
      <c r="A809" s="7" t="s">
        <v>20</v>
      </c>
      <c r="B809" s="7" t="s">
        <v>405</v>
      </c>
      <c r="C809" s="7" t="s">
        <v>165</v>
      </c>
      <c r="D809" s="10" t="s">
        <v>548</v>
      </c>
      <c r="E809" s="7" t="s">
        <v>568</v>
      </c>
      <c r="F809" s="7" t="s">
        <v>529</v>
      </c>
      <c r="G809" s="7" t="s">
        <v>78</v>
      </c>
      <c r="T809" s="7" t="str">
        <f aca="false">_xlfn.TEXTJOIN( , ,B809,C809)</f>
        <v>machine_room_v4Spot Cam - PTZ - 41 spot-cam-ptz.jpg</v>
      </c>
    </row>
    <row r="810" s="7" customFormat="true" ht="15.75" hidden="true" customHeight="true" outlineLevel="0" collapsed="false">
      <c r="A810" s="7" t="s">
        <v>20</v>
      </c>
      <c r="B810" s="7" t="s">
        <v>405</v>
      </c>
      <c r="C810" s="7" t="s">
        <v>165</v>
      </c>
      <c r="D810" s="10" t="s">
        <v>548</v>
      </c>
      <c r="E810" s="7" t="s">
        <v>569</v>
      </c>
      <c r="F810" s="7" t="s">
        <v>529</v>
      </c>
      <c r="G810" s="7" t="s">
        <v>78</v>
      </c>
      <c r="T810" s="7" t="str">
        <f aca="false">_xlfn.TEXTJOIN( , ,B810,C810)</f>
        <v>machine_room_v4Spot Cam - PTZ - 41 spot-cam-ptz.jpg</v>
      </c>
    </row>
    <row r="811" s="7" customFormat="true" ht="15.75" hidden="true" customHeight="true" outlineLevel="0" collapsed="false">
      <c r="A811" s="7" t="s">
        <v>20</v>
      </c>
      <c r="B811" s="7" t="s">
        <v>405</v>
      </c>
      <c r="C811" s="7" t="s">
        <v>165</v>
      </c>
      <c r="D811" s="10" t="s">
        <v>548</v>
      </c>
      <c r="E811" s="7" t="s">
        <v>570</v>
      </c>
      <c r="F811" s="7" t="s">
        <v>529</v>
      </c>
      <c r="G811" s="7" t="s">
        <v>78</v>
      </c>
      <c r="T811" s="7" t="str">
        <f aca="false">_xlfn.TEXTJOIN( , ,B811,C811)</f>
        <v>machine_room_v4Spot Cam - PTZ - 41 spot-cam-ptz.jpg</v>
      </c>
    </row>
    <row r="812" s="7" customFormat="true" ht="15.75" hidden="true" customHeight="true" outlineLevel="0" collapsed="false">
      <c r="A812" s="7" t="s">
        <v>20</v>
      </c>
      <c r="B812" s="7" t="s">
        <v>405</v>
      </c>
      <c r="C812" s="7" t="s">
        <v>165</v>
      </c>
      <c r="D812" s="10" t="s">
        <v>548</v>
      </c>
      <c r="E812" s="7" t="s">
        <v>571</v>
      </c>
      <c r="F812" s="7" t="s">
        <v>529</v>
      </c>
      <c r="G812" s="7" t="s">
        <v>78</v>
      </c>
      <c r="T812" s="7" t="str">
        <f aca="false">_xlfn.TEXTJOIN( , ,B812,C812)</f>
        <v>machine_room_v4Spot Cam - PTZ - 41 spot-cam-ptz.jpg</v>
      </c>
    </row>
    <row r="813" s="7" customFormat="true" ht="15.75" hidden="true" customHeight="true" outlineLevel="0" collapsed="false">
      <c r="A813" s="7" t="s">
        <v>20</v>
      </c>
      <c r="B813" s="7" t="s">
        <v>405</v>
      </c>
      <c r="C813" s="7" t="s">
        <v>165</v>
      </c>
      <c r="D813" s="10" t="s">
        <v>548</v>
      </c>
      <c r="E813" s="7" t="s">
        <v>572</v>
      </c>
      <c r="F813" s="7" t="s">
        <v>529</v>
      </c>
      <c r="G813" s="7" t="s">
        <v>78</v>
      </c>
      <c r="T813" s="7" t="str">
        <f aca="false">_xlfn.TEXTJOIN( , ,B813,C813)</f>
        <v>machine_room_v4Spot Cam - PTZ - 41 spot-cam-ptz.jpg</v>
      </c>
    </row>
    <row r="814" s="7" customFormat="true" ht="15.75" hidden="true" customHeight="true" outlineLevel="0" collapsed="false">
      <c r="A814" s="7" t="s">
        <v>20</v>
      </c>
      <c r="B814" s="7" t="s">
        <v>405</v>
      </c>
      <c r="C814" s="7" t="s">
        <v>165</v>
      </c>
      <c r="D814" s="10" t="s">
        <v>548</v>
      </c>
      <c r="E814" s="7" t="s">
        <v>573</v>
      </c>
      <c r="F814" s="7" t="s">
        <v>529</v>
      </c>
      <c r="G814" s="7" t="s">
        <v>78</v>
      </c>
      <c r="T814" s="7" t="str">
        <f aca="false">_xlfn.TEXTJOIN( , ,B814,C814)</f>
        <v>machine_room_v4Spot Cam - PTZ - 41 spot-cam-ptz.jpg</v>
      </c>
    </row>
    <row r="815" s="7" customFormat="true" ht="15.75" hidden="true" customHeight="true" outlineLevel="0" collapsed="false">
      <c r="A815" s="7" t="s">
        <v>20</v>
      </c>
      <c r="B815" s="7" t="s">
        <v>405</v>
      </c>
      <c r="C815" s="7" t="s">
        <v>165</v>
      </c>
      <c r="D815" s="10" t="s">
        <v>548</v>
      </c>
      <c r="E815" s="7" t="s">
        <v>574</v>
      </c>
      <c r="F815" s="7" t="s">
        <v>529</v>
      </c>
      <c r="G815" s="7" t="s">
        <v>78</v>
      </c>
      <c r="T815" s="7" t="str">
        <f aca="false">_xlfn.TEXTJOIN( , ,B815,C815)</f>
        <v>machine_room_v4Spot Cam - PTZ - 41 spot-cam-ptz.jpg</v>
      </c>
    </row>
    <row r="816" s="7" customFormat="true" ht="15.75" hidden="true" customHeight="true" outlineLevel="0" collapsed="false">
      <c r="A816" s="7" t="s">
        <v>20</v>
      </c>
      <c r="B816" s="7" t="s">
        <v>405</v>
      </c>
      <c r="C816" s="7" t="s">
        <v>165</v>
      </c>
      <c r="D816" s="10" t="s">
        <v>548</v>
      </c>
      <c r="E816" s="7" t="s">
        <v>575</v>
      </c>
      <c r="F816" s="7" t="s">
        <v>529</v>
      </c>
      <c r="G816" s="7" t="s">
        <v>78</v>
      </c>
      <c r="T816" s="7" t="str">
        <f aca="false">_xlfn.TEXTJOIN( , ,B816,C816)</f>
        <v>machine_room_v4Spot Cam - PTZ - 41 spot-cam-ptz.jpg</v>
      </c>
    </row>
    <row r="817" s="7" customFormat="true" ht="15.75" hidden="true" customHeight="true" outlineLevel="0" collapsed="false">
      <c r="A817" s="7" t="s">
        <v>20</v>
      </c>
      <c r="B817" s="7" t="s">
        <v>405</v>
      </c>
      <c r="C817" s="7" t="s">
        <v>165</v>
      </c>
      <c r="D817" s="10" t="s">
        <v>548</v>
      </c>
      <c r="E817" s="7" t="s">
        <v>576</v>
      </c>
      <c r="F817" s="7" t="s">
        <v>529</v>
      </c>
      <c r="G817" s="7" t="s">
        <v>78</v>
      </c>
      <c r="T817" s="7" t="str">
        <f aca="false">_xlfn.TEXTJOIN( , ,B817,C817)</f>
        <v>machine_room_v4Spot Cam - PTZ - 41 spot-cam-ptz.jpg</v>
      </c>
    </row>
    <row r="818" s="7" customFormat="true" ht="15.75" hidden="true" customHeight="true" outlineLevel="0" collapsed="false">
      <c r="A818" s="7" t="s">
        <v>20</v>
      </c>
      <c r="B818" s="7" t="s">
        <v>405</v>
      </c>
      <c r="C818" s="7" t="s">
        <v>165</v>
      </c>
      <c r="D818" s="10" t="s">
        <v>548</v>
      </c>
      <c r="E818" s="7" t="s">
        <v>577</v>
      </c>
      <c r="F818" s="7" t="s">
        <v>529</v>
      </c>
      <c r="G818" s="7" t="s">
        <v>78</v>
      </c>
      <c r="T818" s="7" t="str">
        <f aca="false">_xlfn.TEXTJOIN( , ,B818,C818)</f>
        <v>machine_room_v4Spot Cam - PTZ - 41 spot-cam-ptz.jpg</v>
      </c>
    </row>
    <row r="819" s="7" customFormat="true" ht="15.75" hidden="true" customHeight="true" outlineLevel="0" collapsed="false">
      <c r="A819" s="7" t="s">
        <v>20</v>
      </c>
      <c r="B819" s="7" t="s">
        <v>405</v>
      </c>
      <c r="C819" s="7" t="s">
        <v>165</v>
      </c>
      <c r="D819" s="10" t="s">
        <v>548</v>
      </c>
      <c r="E819" s="7" t="s">
        <v>564</v>
      </c>
      <c r="F819" s="7" t="s">
        <v>373</v>
      </c>
      <c r="G819" s="7" t="s">
        <v>78</v>
      </c>
      <c r="T819" s="7" t="str">
        <f aca="false">_xlfn.TEXTJOIN( , ,B819,C819)</f>
        <v>machine_room_v4Spot Cam - PTZ - 41 spot-cam-ptz.jpg</v>
      </c>
    </row>
    <row r="820" s="7" customFormat="true" ht="15.75" hidden="true" customHeight="true" outlineLevel="0" collapsed="false">
      <c r="A820" s="7" t="s">
        <v>20</v>
      </c>
      <c r="B820" s="7" t="s">
        <v>405</v>
      </c>
      <c r="C820" s="7" t="s">
        <v>165</v>
      </c>
      <c r="D820" s="10" t="s">
        <v>548</v>
      </c>
      <c r="E820" s="7" t="s">
        <v>566</v>
      </c>
      <c r="F820" s="7" t="s">
        <v>373</v>
      </c>
      <c r="G820" s="7" t="s">
        <v>78</v>
      </c>
      <c r="T820" s="7" t="str">
        <f aca="false">_xlfn.TEXTJOIN( , ,B820,C820)</f>
        <v>machine_room_v4Spot Cam - PTZ - 41 spot-cam-ptz.jpg</v>
      </c>
    </row>
    <row r="821" s="7" customFormat="true" ht="15.75" hidden="true" customHeight="true" outlineLevel="0" collapsed="false">
      <c r="A821" s="7" t="s">
        <v>20</v>
      </c>
      <c r="B821" s="7" t="s">
        <v>405</v>
      </c>
      <c r="C821" s="7" t="s">
        <v>165</v>
      </c>
      <c r="D821" s="10" t="s">
        <v>548</v>
      </c>
      <c r="E821" s="7" t="s">
        <v>567</v>
      </c>
      <c r="F821" s="7" t="s">
        <v>373</v>
      </c>
      <c r="G821" s="7" t="s">
        <v>78</v>
      </c>
      <c r="T821" s="7" t="str">
        <f aca="false">_xlfn.TEXTJOIN( , ,B821,C821)</f>
        <v>machine_room_v4Spot Cam - PTZ - 41 spot-cam-ptz.jpg</v>
      </c>
    </row>
    <row r="822" s="7" customFormat="true" ht="15.75" hidden="true" customHeight="true" outlineLevel="0" collapsed="false">
      <c r="A822" s="7" t="s">
        <v>20</v>
      </c>
      <c r="B822" s="7" t="s">
        <v>405</v>
      </c>
      <c r="C822" s="7" t="s">
        <v>165</v>
      </c>
      <c r="D822" s="10" t="s">
        <v>548</v>
      </c>
      <c r="E822" s="7" t="s">
        <v>568</v>
      </c>
      <c r="F822" s="7" t="s">
        <v>373</v>
      </c>
      <c r="G822" s="7" t="s">
        <v>78</v>
      </c>
      <c r="T822" s="7" t="str">
        <f aca="false">_xlfn.TEXTJOIN( , ,B822,C822)</f>
        <v>machine_room_v4Spot Cam - PTZ - 41 spot-cam-ptz.jpg</v>
      </c>
    </row>
    <row r="823" s="7" customFormat="true" ht="15.75" hidden="true" customHeight="true" outlineLevel="0" collapsed="false">
      <c r="A823" s="7" t="s">
        <v>20</v>
      </c>
      <c r="B823" s="7" t="s">
        <v>405</v>
      </c>
      <c r="C823" s="7" t="s">
        <v>165</v>
      </c>
      <c r="D823" s="10" t="s">
        <v>548</v>
      </c>
      <c r="E823" s="7" t="s">
        <v>569</v>
      </c>
      <c r="F823" s="7" t="s">
        <v>373</v>
      </c>
      <c r="G823" s="7" t="s">
        <v>78</v>
      </c>
      <c r="T823" s="7" t="str">
        <f aca="false">_xlfn.TEXTJOIN( , ,B823,C823)</f>
        <v>machine_room_v4Spot Cam - PTZ - 41 spot-cam-ptz.jpg</v>
      </c>
    </row>
    <row r="824" s="7" customFormat="true" ht="15.75" hidden="true" customHeight="true" outlineLevel="0" collapsed="false">
      <c r="A824" s="7" t="s">
        <v>20</v>
      </c>
      <c r="B824" s="7" t="s">
        <v>405</v>
      </c>
      <c r="C824" s="7" t="s">
        <v>165</v>
      </c>
      <c r="D824" s="10" t="s">
        <v>548</v>
      </c>
      <c r="E824" s="7" t="s">
        <v>570</v>
      </c>
      <c r="F824" s="7" t="s">
        <v>373</v>
      </c>
      <c r="G824" s="7" t="s">
        <v>78</v>
      </c>
      <c r="T824" s="7" t="str">
        <f aca="false">_xlfn.TEXTJOIN( , ,B824,C824)</f>
        <v>machine_room_v4Spot Cam - PTZ - 41 spot-cam-ptz.jpg</v>
      </c>
    </row>
    <row r="825" s="7" customFormat="true" ht="15.75" hidden="true" customHeight="true" outlineLevel="0" collapsed="false">
      <c r="A825" s="7" t="s">
        <v>20</v>
      </c>
      <c r="B825" s="7" t="s">
        <v>405</v>
      </c>
      <c r="C825" s="7" t="s">
        <v>165</v>
      </c>
      <c r="D825" s="10" t="s">
        <v>548</v>
      </c>
      <c r="E825" s="7" t="s">
        <v>571</v>
      </c>
      <c r="F825" s="7" t="s">
        <v>373</v>
      </c>
      <c r="G825" s="7" t="s">
        <v>78</v>
      </c>
      <c r="T825" s="7" t="str">
        <f aca="false">_xlfn.TEXTJOIN( , ,B825,C825)</f>
        <v>machine_room_v4Spot Cam - PTZ - 41 spot-cam-ptz.jpg</v>
      </c>
    </row>
    <row r="826" s="7" customFormat="true" ht="15.75" hidden="true" customHeight="true" outlineLevel="0" collapsed="false">
      <c r="A826" s="7" t="s">
        <v>20</v>
      </c>
      <c r="B826" s="7" t="s">
        <v>405</v>
      </c>
      <c r="C826" s="7" t="s">
        <v>165</v>
      </c>
      <c r="D826" s="10" t="s">
        <v>548</v>
      </c>
      <c r="E826" s="7" t="s">
        <v>572</v>
      </c>
      <c r="F826" s="7" t="s">
        <v>373</v>
      </c>
      <c r="G826" s="7" t="s">
        <v>78</v>
      </c>
      <c r="T826" s="7" t="str">
        <f aca="false">_xlfn.TEXTJOIN( , ,B826,C826)</f>
        <v>machine_room_v4Spot Cam - PTZ - 41 spot-cam-ptz.jpg</v>
      </c>
    </row>
    <row r="827" s="7" customFormat="true" ht="15.75" hidden="true" customHeight="true" outlineLevel="0" collapsed="false">
      <c r="A827" s="7" t="s">
        <v>20</v>
      </c>
      <c r="B827" s="7" t="s">
        <v>405</v>
      </c>
      <c r="C827" s="7" t="s">
        <v>165</v>
      </c>
      <c r="D827" s="10" t="s">
        <v>548</v>
      </c>
      <c r="E827" s="7" t="s">
        <v>573</v>
      </c>
      <c r="F827" s="7" t="s">
        <v>373</v>
      </c>
      <c r="G827" s="7" t="s">
        <v>78</v>
      </c>
      <c r="T827" s="7" t="str">
        <f aca="false">_xlfn.TEXTJOIN( , ,B827,C827)</f>
        <v>machine_room_v4Spot Cam - PTZ - 41 spot-cam-ptz.jpg</v>
      </c>
    </row>
    <row r="828" s="7" customFormat="true" ht="15.75" hidden="true" customHeight="true" outlineLevel="0" collapsed="false">
      <c r="A828" s="7" t="s">
        <v>20</v>
      </c>
      <c r="B828" s="7" t="s">
        <v>405</v>
      </c>
      <c r="C828" s="7" t="s">
        <v>165</v>
      </c>
      <c r="D828" s="10" t="s">
        <v>548</v>
      </c>
      <c r="E828" s="7" t="s">
        <v>574</v>
      </c>
      <c r="F828" s="7" t="s">
        <v>373</v>
      </c>
      <c r="G828" s="7" t="s">
        <v>78</v>
      </c>
      <c r="T828" s="7" t="str">
        <f aca="false">_xlfn.TEXTJOIN( , ,B828,C828)</f>
        <v>machine_room_v4Spot Cam - PTZ - 41 spot-cam-ptz.jpg</v>
      </c>
    </row>
    <row r="829" s="7" customFormat="true" ht="15.75" hidden="true" customHeight="true" outlineLevel="0" collapsed="false">
      <c r="A829" s="7" t="s">
        <v>20</v>
      </c>
      <c r="B829" s="7" t="s">
        <v>405</v>
      </c>
      <c r="C829" s="7" t="s">
        <v>165</v>
      </c>
      <c r="D829" s="10" t="s">
        <v>548</v>
      </c>
      <c r="E829" s="7" t="s">
        <v>575</v>
      </c>
      <c r="F829" s="7" t="s">
        <v>373</v>
      </c>
      <c r="G829" s="7" t="s">
        <v>78</v>
      </c>
      <c r="T829" s="7" t="str">
        <f aca="false">_xlfn.TEXTJOIN( , ,B829,C829)</f>
        <v>machine_room_v4Spot Cam - PTZ - 41 spot-cam-ptz.jpg</v>
      </c>
    </row>
    <row r="830" s="7" customFormat="true" ht="15.75" hidden="true" customHeight="true" outlineLevel="0" collapsed="false">
      <c r="A830" s="7" t="s">
        <v>20</v>
      </c>
      <c r="B830" s="7" t="s">
        <v>405</v>
      </c>
      <c r="C830" s="7" t="s">
        <v>165</v>
      </c>
      <c r="D830" s="10" t="s">
        <v>548</v>
      </c>
      <c r="E830" s="7" t="s">
        <v>576</v>
      </c>
      <c r="F830" s="7" t="s">
        <v>373</v>
      </c>
      <c r="G830" s="7" t="s">
        <v>78</v>
      </c>
      <c r="T830" s="7" t="str">
        <f aca="false">_xlfn.TEXTJOIN( , ,B830,C830)</f>
        <v>machine_room_v4Spot Cam - PTZ - 41 spot-cam-ptz.jpg</v>
      </c>
    </row>
    <row r="831" s="7" customFormat="true" ht="15.75" hidden="true" customHeight="true" outlineLevel="0" collapsed="false">
      <c r="A831" s="7" t="s">
        <v>20</v>
      </c>
      <c r="B831" s="7" t="s">
        <v>405</v>
      </c>
      <c r="C831" s="7" t="s">
        <v>165</v>
      </c>
      <c r="D831" s="10" t="s">
        <v>548</v>
      </c>
      <c r="E831" s="7" t="s">
        <v>577</v>
      </c>
      <c r="F831" s="7" t="s">
        <v>373</v>
      </c>
      <c r="G831" s="7" t="s">
        <v>78</v>
      </c>
      <c r="T831" s="7" t="str">
        <f aca="false">_xlfn.TEXTJOIN( , ,B831,C831)</f>
        <v>machine_room_v4Spot Cam - PTZ - 41 spot-cam-ptz.jpg</v>
      </c>
    </row>
    <row r="832" s="7" customFormat="true" ht="15.75" hidden="true" customHeight="true" outlineLevel="0" collapsed="false">
      <c r="A832" s="7" t="s">
        <v>20</v>
      </c>
      <c r="B832" s="7" t="s">
        <v>405</v>
      </c>
      <c r="C832" s="7" t="s">
        <v>165</v>
      </c>
      <c r="D832" s="10" t="s">
        <v>548</v>
      </c>
      <c r="E832" s="7" t="s">
        <v>564</v>
      </c>
      <c r="F832" s="7" t="s">
        <v>161</v>
      </c>
      <c r="G832" s="7" t="s">
        <v>102</v>
      </c>
      <c r="T832" s="7" t="str">
        <f aca="false">_xlfn.TEXTJOIN( , ,B832,C832)</f>
        <v>machine_room_v4Spot Cam - PTZ - 41 spot-cam-ptz.jpg</v>
      </c>
    </row>
    <row r="833" s="7" customFormat="true" ht="15.75" hidden="true" customHeight="true" outlineLevel="0" collapsed="false">
      <c r="A833" s="7" t="s">
        <v>20</v>
      </c>
      <c r="B833" s="7" t="s">
        <v>405</v>
      </c>
      <c r="C833" s="7" t="s">
        <v>165</v>
      </c>
      <c r="D833" s="10" t="s">
        <v>548</v>
      </c>
      <c r="E833" s="7" t="s">
        <v>566</v>
      </c>
      <c r="F833" s="7" t="s">
        <v>161</v>
      </c>
      <c r="G833" s="7" t="s">
        <v>102</v>
      </c>
      <c r="T833" s="7" t="str">
        <f aca="false">_xlfn.TEXTJOIN( , ,B833,C833)</f>
        <v>machine_room_v4Spot Cam - PTZ - 41 spot-cam-ptz.jpg</v>
      </c>
    </row>
    <row r="834" s="7" customFormat="true" ht="15.75" hidden="true" customHeight="true" outlineLevel="0" collapsed="false">
      <c r="A834" s="7" t="s">
        <v>20</v>
      </c>
      <c r="B834" s="7" t="s">
        <v>405</v>
      </c>
      <c r="C834" s="7" t="s">
        <v>165</v>
      </c>
      <c r="D834" s="10" t="s">
        <v>548</v>
      </c>
      <c r="E834" s="7" t="s">
        <v>567</v>
      </c>
      <c r="F834" s="7" t="s">
        <v>161</v>
      </c>
      <c r="G834" s="7" t="s">
        <v>102</v>
      </c>
      <c r="T834" s="7" t="str">
        <f aca="false">_xlfn.TEXTJOIN( , ,B834,C834)</f>
        <v>machine_room_v4Spot Cam - PTZ - 41 spot-cam-ptz.jpg</v>
      </c>
    </row>
    <row r="835" s="7" customFormat="true" ht="15.75" hidden="true" customHeight="true" outlineLevel="0" collapsed="false">
      <c r="A835" s="7" t="s">
        <v>20</v>
      </c>
      <c r="B835" s="7" t="s">
        <v>405</v>
      </c>
      <c r="C835" s="7" t="s">
        <v>165</v>
      </c>
      <c r="D835" s="10" t="s">
        <v>548</v>
      </c>
      <c r="E835" s="7" t="s">
        <v>568</v>
      </c>
      <c r="F835" s="7" t="s">
        <v>161</v>
      </c>
      <c r="G835" s="7" t="s">
        <v>102</v>
      </c>
      <c r="T835" s="7" t="str">
        <f aca="false">_xlfn.TEXTJOIN( , ,B835,C835)</f>
        <v>machine_room_v4Spot Cam - PTZ - 41 spot-cam-ptz.jpg</v>
      </c>
    </row>
    <row r="836" s="7" customFormat="true" ht="15.75" hidden="true" customHeight="true" outlineLevel="0" collapsed="false">
      <c r="A836" s="7" t="s">
        <v>20</v>
      </c>
      <c r="B836" s="7" t="s">
        <v>405</v>
      </c>
      <c r="C836" s="7" t="s">
        <v>165</v>
      </c>
      <c r="D836" s="10" t="s">
        <v>548</v>
      </c>
      <c r="E836" s="7" t="s">
        <v>569</v>
      </c>
      <c r="F836" s="7" t="s">
        <v>161</v>
      </c>
      <c r="G836" s="7" t="s">
        <v>102</v>
      </c>
      <c r="T836" s="7" t="str">
        <f aca="false">_xlfn.TEXTJOIN( , ,B836,C836)</f>
        <v>machine_room_v4Spot Cam - PTZ - 41 spot-cam-ptz.jpg</v>
      </c>
    </row>
    <row r="837" s="7" customFormat="true" ht="15.75" hidden="true" customHeight="true" outlineLevel="0" collapsed="false">
      <c r="A837" s="7" t="s">
        <v>20</v>
      </c>
      <c r="B837" s="7" t="s">
        <v>405</v>
      </c>
      <c r="C837" s="7" t="s">
        <v>165</v>
      </c>
      <c r="D837" s="10" t="s">
        <v>548</v>
      </c>
      <c r="E837" s="7" t="s">
        <v>570</v>
      </c>
      <c r="F837" s="7" t="s">
        <v>161</v>
      </c>
      <c r="G837" s="7" t="s">
        <v>102</v>
      </c>
      <c r="T837" s="7" t="str">
        <f aca="false">_xlfn.TEXTJOIN( , ,B837,C837)</f>
        <v>machine_room_v4Spot Cam - PTZ - 41 spot-cam-ptz.jpg</v>
      </c>
    </row>
    <row r="838" s="7" customFormat="true" ht="15.75" hidden="true" customHeight="true" outlineLevel="0" collapsed="false">
      <c r="A838" s="7" t="s">
        <v>20</v>
      </c>
      <c r="B838" s="7" t="s">
        <v>405</v>
      </c>
      <c r="C838" s="7" t="s">
        <v>165</v>
      </c>
      <c r="D838" s="10" t="s">
        <v>548</v>
      </c>
      <c r="E838" s="7" t="s">
        <v>571</v>
      </c>
      <c r="F838" s="7" t="s">
        <v>161</v>
      </c>
      <c r="G838" s="7" t="s">
        <v>102</v>
      </c>
      <c r="T838" s="7" t="str">
        <f aca="false">_xlfn.TEXTJOIN( , ,B838,C838)</f>
        <v>machine_room_v4Spot Cam - PTZ - 41 spot-cam-ptz.jpg</v>
      </c>
    </row>
    <row r="839" s="7" customFormat="true" ht="15.75" hidden="true" customHeight="true" outlineLevel="0" collapsed="false">
      <c r="A839" s="7" t="s">
        <v>20</v>
      </c>
      <c r="B839" s="7" t="s">
        <v>405</v>
      </c>
      <c r="C839" s="7" t="s">
        <v>165</v>
      </c>
      <c r="D839" s="10" t="s">
        <v>548</v>
      </c>
      <c r="E839" s="7" t="s">
        <v>572</v>
      </c>
      <c r="F839" s="7" t="s">
        <v>161</v>
      </c>
      <c r="G839" s="7" t="s">
        <v>102</v>
      </c>
      <c r="T839" s="7" t="str">
        <f aca="false">_xlfn.TEXTJOIN( , ,B839,C839)</f>
        <v>machine_room_v4Spot Cam - PTZ - 41 spot-cam-ptz.jpg</v>
      </c>
    </row>
    <row r="840" s="7" customFormat="true" ht="15.75" hidden="true" customHeight="true" outlineLevel="0" collapsed="false">
      <c r="A840" s="7" t="s">
        <v>20</v>
      </c>
      <c r="B840" s="7" t="s">
        <v>405</v>
      </c>
      <c r="C840" s="7" t="s">
        <v>165</v>
      </c>
      <c r="D840" s="10" t="s">
        <v>548</v>
      </c>
      <c r="E840" s="7" t="s">
        <v>573</v>
      </c>
      <c r="F840" s="7" t="s">
        <v>161</v>
      </c>
      <c r="G840" s="7" t="s">
        <v>102</v>
      </c>
      <c r="T840" s="7" t="str">
        <f aca="false">_xlfn.TEXTJOIN( , ,B840,C840)</f>
        <v>machine_room_v4Spot Cam - PTZ - 41 spot-cam-ptz.jpg</v>
      </c>
    </row>
    <row r="841" s="7" customFormat="true" ht="15.75" hidden="true" customHeight="true" outlineLevel="0" collapsed="false">
      <c r="A841" s="7" t="s">
        <v>20</v>
      </c>
      <c r="B841" s="7" t="s">
        <v>405</v>
      </c>
      <c r="C841" s="7" t="s">
        <v>165</v>
      </c>
      <c r="D841" s="10" t="s">
        <v>548</v>
      </c>
      <c r="E841" s="7" t="s">
        <v>574</v>
      </c>
      <c r="F841" s="7" t="s">
        <v>161</v>
      </c>
      <c r="G841" s="7" t="s">
        <v>102</v>
      </c>
      <c r="T841" s="7" t="str">
        <f aca="false">_xlfn.TEXTJOIN( , ,B841,C841)</f>
        <v>machine_room_v4Spot Cam - PTZ - 41 spot-cam-ptz.jpg</v>
      </c>
    </row>
    <row r="842" s="7" customFormat="true" ht="15.75" hidden="true" customHeight="true" outlineLevel="0" collapsed="false">
      <c r="A842" s="7" t="s">
        <v>20</v>
      </c>
      <c r="B842" s="7" t="s">
        <v>405</v>
      </c>
      <c r="C842" s="7" t="s">
        <v>165</v>
      </c>
      <c r="D842" s="10" t="s">
        <v>548</v>
      </c>
      <c r="E842" s="7" t="s">
        <v>575</v>
      </c>
      <c r="F842" s="7" t="s">
        <v>161</v>
      </c>
      <c r="G842" s="7" t="s">
        <v>102</v>
      </c>
      <c r="T842" s="7" t="str">
        <f aca="false">_xlfn.TEXTJOIN( , ,B842,C842)</f>
        <v>machine_room_v4Spot Cam - PTZ - 41 spot-cam-ptz.jpg</v>
      </c>
    </row>
    <row r="843" s="7" customFormat="true" ht="15.75" hidden="true" customHeight="true" outlineLevel="0" collapsed="false">
      <c r="A843" s="7" t="s">
        <v>20</v>
      </c>
      <c r="B843" s="7" t="s">
        <v>405</v>
      </c>
      <c r="C843" s="7" t="s">
        <v>165</v>
      </c>
      <c r="D843" s="10" t="s">
        <v>548</v>
      </c>
      <c r="E843" s="7" t="s">
        <v>576</v>
      </c>
      <c r="F843" s="7" t="s">
        <v>161</v>
      </c>
      <c r="G843" s="7" t="s">
        <v>102</v>
      </c>
      <c r="T843" s="7" t="str">
        <f aca="false">_xlfn.TEXTJOIN( , ,B843,C843)</f>
        <v>machine_room_v4Spot Cam - PTZ - 41 spot-cam-ptz.jpg</v>
      </c>
    </row>
    <row r="844" s="7" customFormat="true" ht="15.75" hidden="true" customHeight="true" outlineLevel="0" collapsed="false">
      <c r="A844" s="7" t="s">
        <v>20</v>
      </c>
      <c r="B844" s="7" t="s">
        <v>405</v>
      </c>
      <c r="C844" s="7" t="s">
        <v>165</v>
      </c>
      <c r="D844" s="10" t="s">
        <v>548</v>
      </c>
      <c r="E844" s="7" t="s">
        <v>577</v>
      </c>
      <c r="F844" s="7" t="s">
        <v>161</v>
      </c>
      <c r="G844" s="7" t="s">
        <v>102</v>
      </c>
      <c r="T844" s="7" t="str">
        <f aca="false">_xlfn.TEXTJOIN( , ,B844,C844)</f>
        <v>machine_room_v4Spot Cam - PTZ - 41 spot-cam-ptz.jpg</v>
      </c>
    </row>
    <row r="845" s="7" customFormat="true" ht="15.75" hidden="true" customHeight="true" outlineLevel="0" collapsed="false">
      <c r="A845" s="7" t="s">
        <v>20</v>
      </c>
      <c r="B845" s="7" t="s">
        <v>405</v>
      </c>
      <c r="C845" s="7" t="s">
        <v>165</v>
      </c>
      <c r="D845" s="10" t="s">
        <v>548</v>
      </c>
      <c r="E845" s="7" t="s">
        <v>564</v>
      </c>
      <c r="F845" s="7" t="s">
        <v>532</v>
      </c>
      <c r="G845" s="7" t="s">
        <v>102</v>
      </c>
      <c r="T845" s="7" t="str">
        <f aca="false">_xlfn.TEXTJOIN( , ,B845,C845)</f>
        <v>machine_room_v4Spot Cam - PTZ - 41 spot-cam-ptz.jpg</v>
      </c>
    </row>
    <row r="846" s="7" customFormat="true" ht="15.75" hidden="true" customHeight="true" outlineLevel="0" collapsed="false">
      <c r="A846" s="7" t="s">
        <v>20</v>
      </c>
      <c r="B846" s="7" t="s">
        <v>405</v>
      </c>
      <c r="C846" s="7" t="s">
        <v>165</v>
      </c>
      <c r="D846" s="10" t="s">
        <v>548</v>
      </c>
      <c r="E846" s="7" t="s">
        <v>566</v>
      </c>
      <c r="F846" s="7" t="s">
        <v>532</v>
      </c>
      <c r="G846" s="7" t="s">
        <v>102</v>
      </c>
      <c r="T846" s="7" t="str">
        <f aca="false">_xlfn.TEXTJOIN( , ,B846,C846)</f>
        <v>machine_room_v4Spot Cam - PTZ - 41 spot-cam-ptz.jpg</v>
      </c>
    </row>
    <row r="847" s="7" customFormat="true" ht="15.75" hidden="true" customHeight="true" outlineLevel="0" collapsed="false">
      <c r="A847" s="7" t="s">
        <v>20</v>
      </c>
      <c r="B847" s="7" t="s">
        <v>405</v>
      </c>
      <c r="C847" s="7" t="s">
        <v>165</v>
      </c>
      <c r="D847" s="10" t="s">
        <v>548</v>
      </c>
      <c r="E847" s="7" t="s">
        <v>567</v>
      </c>
      <c r="F847" s="7" t="s">
        <v>532</v>
      </c>
      <c r="G847" s="7" t="s">
        <v>102</v>
      </c>
      <c r="T847" s="7" t="str">
        <f aca="false">_xlfn.TEXTJOIN( , ,B847,C847)</f>
        <v>machine_room_v4Spot Cam - PTZ - 41 spot-cam-ptz.jpg</v>
      </c>
    </row>
    <row r="848" s="7" customFormat="true" ht="15.75" hidden="true" customHeight="true" outlineLevel="0" collapsed="false">
      <c r="A848" s="7" t="s">
        <v>20</v>
      </c>
      <c r="B848" s="7" t="s">
        <v>405</v>
      </c>
      <c r="C848" s="7" t="s">
        <v>165</v>
      </c>
      <c r="D848" s="10" t="s">
        <v>548</v>
      </c>
      <c r="E848" s="7" t="s">
        <v>568</v>
      </c>
      <c r="F848" s="7" t="s">
        <v>532</v>
      </c>
      <c r="G848" s="7" t="s">
        <v>102</v>
      </c>
      <c r="T848" s="7" t="str">
        <f aca="false">_xlfn.TEXTJOIN( , ,B848,C848)</f>
        <v>machine_room_v4Spot Cam - PTZ - 41 spot-cam-ptz.jpg</v>
      </c>
    </row>
    <row r="849" s="7" customFormat="true" ht="15.75" hidden="true" customHeight="true" outlineLevel="0" collapsed="false">
      <c r="A849" s="7" t="s">
        <v>20</v>
      </c>
      <c r="B849" s="7" t="s">
        <v>405</v>
      </c>
      <c r="C849" s="7" t="s">
        <v>165</v>
      </c>
      <c r="D849" s="10" t="s">
        <v>548</v>
      </c>
      <c r="E849" s="7" t="s">
        <v>569</v>
      </c>
      <c r="F849" s="7" t="s">
        <v>532</v>
      </c>
      <c r="G849" s="7" t="s">
        <v>102</v>
      </c>
      <c r="T849" s="7" t="str">
        <f aca="false">_xlfn.TEXTJOIN( , ,B849,C849)</f>
        <v>machine_room_v4Spot Cam - PTZ - 41 spot-cam-ptz.jpg</v>
      </c>
    </row>
    <row r="850" s="7" customFormat="true" ht="15.75" hidden="true" customHeight="true" outlineLevel="0" collapsed="false">
      <c r="A850" s="7" t="s">
        <v>20</v>
      </c>
      <c r="B850" s="7" t="s">
        <v>405</v>
      </c>
      <c r="C850" s="7" t="s">
        <v>165</v>
      </c>
      <c r="D850" s="10" t="s">
        <v>548</v>
      </c>
      <c r="E850" s="7" t="s">
        <v>570</v>
      </c>
      <c r="F850" s="7" t="s">
        <v>532</v>
      </c>
      <c r="G850" s="7" t="s">
        <v>102</v>
      </c>
      <c r="T850" s="7" t="str">
        <f aca="false">_xlfn.TEXTJOIN( , ,B850,C850)</f>
        <v>machine_room_v4Spot Cam - PTZ - 41 spot-cam-ptz.jpg</v>
      </c>
    </row>
    <row r="851" s="7" customFormat="true" ht="15.75" hidden="true" customHeight="true" outlineLevel="0" collapsed="false">
      <c r="A851" s="7" t="s">
        <v>20</v>
      </c>
      <c r="B851" s="7" t="s">
        <v>405</v>
      </c>
      <c r="C851" s="7" t="s">
        <v>165</v>
      </c>
      <c r="D851" s="10" t="s">
        <v>548</v>
      </c>
      <c r="E851" s="7" t="s">
        <v>571</v>
      </c>
      <c r="F851" s="7" t="s">
        <v>532</v>
      </c>
      <c r="G851" s="7" t="s">
        <v>102</v>
      </c>
      <c r="T851" s="7" t="str">
        <f aca="false">_xlfn.TEXTJOIN( , ,B851,C851)</f>
        <v>machine_room_v4Spot Cam - PTZ - 41 spot-cam-ptz.jpg</v>
      </c>
    </row>
    <row r="852" s="7" customFormat="true" ht="15.75" hidden="true" customHeight="true" outlineLevel="0" collapsed="false">
      <c r="A852" s="7" t="s">
        <v>20</v>
      </c>
      <c r="B852" s="7" t="s">
        <v>405</v>
      </c>
      <c r="C852" s="7" t="s">
        <v>165</v>
      </c>
      <c r="D852" s="10" t="s">
        <v>548</v>
      </c>
      <c r="E852" s="7" t="s">
        <v>572</v>
      </c>
      <c r="F852" s="7" t="s">
        <v>532</v>
      </c>
      <c r="G852" s="7" t="s">
        <v>102</v>
      </c>
      <c r="T852" s="7" t="str">
        <f aca="false">_xlfn.TEXTJOIN( , ,B852,C852)</f>
        <v>machine_room_v4Spot Cam - PTZ - 41 spot-cam-ptz.jpg</v>
      </c>
    </row>
    <row r="853" s="7" customFormat="true" ht="15.75" hidden="true" customHeight="true" outlineLevel="0" collapsed="false">
      <c r="A853" s="7" t="s">
        <v>20</v>
      </c>
      <c r="B853" s="7" t="s">
        <v>405</v>
      </c>
      <c r="C853" s="7" t="s">
        <v>165</v>
      </c>
      <c r="D853" s="10" t="s">
        <v>548</v>
      </c>
      <c r="E853" s="7" t="s">
        <v>573</v>
      </c>
      <c r="F853" s="7" t="s">
        <v>532</v>
      </c>
      <c r="G853" s="7" t="s">
        <v>102</v>
      </c>
      <c r="T853" s="7" t="str">
        <f aca="false">_xlfn.TEXTJOIN( , ,B853,C853)</f>
        <v>machine_room_v4Spot Cam - PTZ - 41 spot-cam-ptz.jpg</v>
      </c>
    </row>
    <row r="854" s="7" customFormat="true" ht="15.75" hidden="true" customHeight="true" outlineLevel="0" collapsed="false">
      <c r="A854" s="7" t="s">
        <v>20</v>
      </c>
      <c r="B854" s="7" t="s">
        <v>405</v>
      </c>
      <c r="C854" s="7" t="s">
        <v>165</v>
      </c>
      <c r="D854" s="10" t="s">
        <v>548</v>
      </c>
      <c r="E854" s="7" t="s">
        <v>574</v>
      </c>
      <c r="F854" s="7" t="s">
        <v>532</v>
      </c>
      <c r="G854" s="7" t="s">
        <v>102</v>
      </c>
      <c r="T854" s="7" t="str">
        <f aca="false">_xlfn.TEXTJOIN( , ,B854,C854)</f>
        <v>machine_room_v4Spot Cam - PTZ - 41 spot-cam-ptz.jpg</v>
      </c>
    </row>
    <row r="855" s="7" customFormat="true" ht="15.75" hidden="true" customHeight="true" outlineLevel="0" collapsed="false">
      <c r="A855" s="7" t="s">
        <v>20</v>
      </c>
      <c r="B855" s="7" t="s">
        <v>405</v>
      </c>
      <c r="C855" s="7" t="s">
        <v>165</v>
      </c>
      <c r="D855" s="10" t="s">
        <v>548</v>
      </c>
      <c r="E855" s="7" t="s">
        <v>575</v>
      </c>
      <c r="F855" s="7" t="s">
        <v>532</v>
      </c>
      <c r="G855" s="7" t="s">
        <v>102</v>
      </c>
      <c r="T855" s="7" t="str">
        <f aca="false">_xlfn.TEXTJOIN( , ,B855,C855)</f>
        <v>machine_room_v4Spot Cam - PTZ - 41 spot-cam-ptz.jpg</v>
      </c>
    </row>
    <row r="856" s="7" customFormat="true" ht="15.75" hidden="true" customHeight="true" outlineLevel="0" collapsed="false">
      <c r="A856" s="7" t="s">
        <v>20</v>
      </c>
      <c r="B856" s="7" t="s">
        <v>405</v>
      </c>
      <c r="C856" s="7" t="s">
        <v>165</v>
      </c>
      <c r="D856" s="10" t="s">
        <v>548</v>
      </c>
      <c r="E856" s="7" t="s">
        <v>576</v>
      </c>
      <c r="F856" s="7" t="s">
        <v>532</v>
      </c>
      <c r="G856" s="7" t="s">
        <v>102</v>
      </c>
      <c r="T856" s="7" t="str">
        <f aca="false">_xlfn.TEXTJOIN( , ,B856,C856)</f>
        <v>machine_room_v4Spot Cam - PTZ - 41 spot-cam-ptz.jpg</v>
      </c>
    </row>
    <row r="857" s="7" customFormat="true" ht="15.75" hidden="true" customHeight="true" outlineLevel="0" collapsed="false">
      <c r="A857" s="7" t="s">
        <v>20</v>
      </c>
      <c r="B857" s="7" t="s">
        <v>405</v>
      </c>
      <c r="C857" s="7" t="s">
        <v>165</v>
      </c>
      <c r="D857" s="10" t="s">
        <v>548</v>
      </c>
      <c r="E857" s="7" t="s">
        <v>577</v>
      </c>
      <c r="F857" s="7" t="s">
        <v>532</v>
      </c>
      <c r="G857" s="7" t="s">
        <v>102</v>
      </c>
      <c r="T857" s="7" t="str">
        <f aca="false">_xlfn.TEXTJOIN( , ,B857,C857)</f>
        <v>machine_room_v4Spot Cam - PTZ - 41 spot-cam-ptz.jpg</v>
      </c>
    </row>
    <row r="858" s="7" customFormat="true" ht="15.75" hidden="true" customHeight="true" outlineLevel="0" collapsed="false">
      <c r="A858" s="7" t="s">
        <v>20</v>
      </c>
      <c r="B858" s="7" t="s">
        <v>405</v>
      </c>
      <c r="C858" s="7" t="s">
        <v>68</v>
      </c>
      <c r="D858" s="7" t="s">
        <v>482</v>
      </c>
      <c r="E858" s="7" t="s">
        <v>541</v>
      </c>
      <c r="F858" s="7" t="s">
        <v>542</v>
      </c>
      <c r="G858" s="7" t="s">
        <v>36</v>
      </c>
      <c r="J858" s="7" t="n">
        <v>0</v>
      </c>
      <c r="K858" s="7" t="n">
        <v>1</v>
      </c>
      <c r="L858" s="7" t="n">
        <v>0.12</v>
      </c>
      <c r="M858" s="7" t="n">
        <v>0.16</v>
      </c>
      <c r="N858" s="7" t="s">
        <v>543</v>
      </c>
      <c r="O858" s="8" t="s">
        <v>462</v>
      </c>
      <c r="P858" s="8" t="s">
        <v>544</v>
      </c>
      <c r="Q858" s="8" t="s">
        <v>545</v>
      </c>
      <c r="T858" s="7" t="str">
        <f aca="false">_xlfn.TEXTJOIN( , ,B858,C858)</f>
        <v>machine_room_v4Spot Cam - PTZ - 5 spot-cam-ptz.jpg</v>
      </c>
    </row>
    <row r="859" s="7" customFormat="true" ht="15.75" hidden="true" customHeight="true" outlineLevel="0" collapsed="false">
      <c r="A859" s="7" t="s">
        <v>20</v>
      </c>
      <c r="B859" s="7" t="s">
        <v>405</v>
      </c>
      <c r="C859" s="7" t="s">
        <v>68</v>
      </c>
      <c r="D859" s="7" t="s">
        <v>482</v>
      </c>
      <c r="E859" s="7" t="s">
        <v>546</v>
      </c>
      <c r="F859" s="7" t="s">
        <v>542</v>
      </c>
      <c r="G859" s="7" t="s">
        <v>36</v>
      </c>
      <c r="J859" s="7" t="n">
        <v>0</v>
      </c>
      <c r="K859" s="7" t="n">
        <v>1</v>
      </c>
      <c r="L859" s="7" t="n">
        <v>0.12</v>
      </c>
      <c r="M859" s="7" t="n">
        <v>0.16</v>
      </c>
      <c r="N859" s="7" t="s">
        <v>543</v>
      </c>
      <c r="O859" s="8" t="s">
        <v>462</v>
      </c>
      <c r="P859" s="8" t="s">
        <v>544</v>
      </c>
      <c r="Q859" s="8" t="s">
        <v>545</v>
      </c>
      <c r="T859" s="7" t="str">
        <f aca="false">_xlfn.TEXTJOIN( , ,B859,C859)</f>
        <v>machine_room_v4Spot Cam - PTZ - 5 spot-cam-ptz.jpg</v>
      </c>
    </row>
    <row r="860" s="7" customFormat="true" ht="15.75" hidden="true" customHeight="true" outlineLevel="0" collapsed="false">
      <c r="A860" s="7" t="s">
        <v>20</v>
      </c>
      <c r="B860" s="7" t="s">
        <v>405</v>
      </c>
      <c r="C860" s="7" t="s">
        <v>68</v>
      </c>
      <c r="D860" s="7" t="s">
        <v>482</v>
      </c>
      <c r="E860" s="7" t="s">
        <v>424</v>
      </c>
      <c r="F860" s="10" t="s">
        <v>349</v>
      </c>
      <c r="G860" s="7" t="s">
        <v>350</v>
      </c>
      <c r="O860" s="8" t="s">
        <v>462</v>
      </c>
      <c r="P860" s="8" t="s">
        <v>547</v>
      </c>
      <c r="Q860" s="8" t="s">
        <v>545</v>
      </c>
      <c r="T860" s="7" t="str">
        <f aca="false">_xlfn.TEXTJOIN( , ,B860,C860)</f>
        <v>machine_room_v4Spot Cam - PTZ - 5 spot-cam-ptz.jpg</v>
      </c>
    </row>
    <row r="861" s="7" customFormat="true" ht="15.75" hidden="true" customHeight="true" outlineLevel="0" collapsed="false">
      <c r="A861" s="7" t="s">
        <v>20</v>
      </c>
      <c r="B861" s="7" t="s">
        <v>405</v>
      </c>
      <c r="C861" s="7" t="s">
        <v>69</v>
      </c>
      <c r="D861" s="7" t="s">
        <v>578</v>
      </c>
      <c r="F861" s="10" t="s">
        <v>491</v>
      </c>
      <c r="G861" s="10" t="s">
        <v>470</v>
      </c>
      <c r="O861" s="10" t="s">
        <v>579</v>
      </c>
      <c r="P861" s="17" t="s">
        <v>580</v>
      </c>
      <c r="T861" s="7" t="str">
        <f aca="false">_xlfn.TEXTJOIN( , ,B861,C861)</f>
        <v>machine_room_v4Spot Cam - PTZ - 6 spot-cam-ptz.jpg</v>
      </c>
    </row>
    <row r="862" s="7" customFormat="true" ht="15.75" hidden="false" customHeight="true" outlineLevel="0" collapsed="false">
      <c r="A862" s="7" t="s">
        <v>20</v>
      </c>
      <c r="B862" s="7" t="s">
        <v>405</v>
      </c>
      <c r="C862" s="7" t="s">
        <v>70</v>
      </c>
      <c r="D862" s="10" t="s">
        <v>548</v>
      </c>
      <c r="E862" s="7" t="s">
        <v>457</v>
      </c>
      <c r="F862" s="7" t="s">
        <v>402</v>
      </c>
      <c r="G862" s="7" t="s">
        <v>44</v>
      </c>
      <c r="O862" s="7" t="s">
        <v>528</v>
      </c>
      <c r="P862" s="8" t="s">
        <v>581</v>
      </c>
      <c r="S862" s="11" t="s">
        <v>403</v>
      </c>
      <c r="T862" s="7" t="str">
        <f aca="false">_xlfn.TEXTJOIN( , ,B862,C862)</f>
        <v>machine_room_v4Spot Cam - PTZ - 7 spot-cam-ptz.jpg</v>
      </c>
    </row>
    <row r="863" s="7" customFormat="true" ht="15.75" hidden="false" customHeight="true" outlineLevel="0" collapsed="false">
      <c r="A863" s="7" t="s">
        <v>20</v>
      </c>
      <c r="B863" s="7" t="s">
        <v>405</v>
      </c>
      <c r="C863" s="7" t="s">
        <v>71</v>
      </c>
      <c r="D863" s="10" t="s">
        <v>509</v>
      </c>
      <c r="E863" s="7" t="s">
        <v>457</v>
      </c>
      <c r="F863" s="7" t="s">
        <v>402</v>
      </c>
      <c r="G863" s="7" t="s">
        <v>44</v>
      </c>
      <c r="J863" s="7" t="s">
        <v>582</v>
      </c>
      <c r="O863" s="7" t="s">
        <v>513</v>
      </c>
      <c r="P863" s="8" t="s">
        <v>581</v>
      </c>
      <c r="S863" s="11" t="s">
        <v>403</v>
      </c>
      <c r="T863" s="7" t="str">
        <f aca="false">_xlfn.TEXTJOIN( , ,B863,C863)</f>
        <v>machine_room_v4Spot Cam - PTZ - 8 spot-cam-ptz.jpg</v>
      </c>
    </row>
    <row r="864" s="7" customFormat="true" ht="15.75" hidden="false" customHeight="true" outlineLevel="0" collapsed="false">
      <c r="A864" s="7" t="s">
        <v>20</v>
      </c>
      <c r="B864" s="7" t="s">
        <v>405</v>
      </c>
      <c r="C864" s="7" t="s">
        <v>73</v>
      </c>
      <c r="D864" s="10" t="s">
        <v>523</v>
      </c>
      <c r="E864" s="7" t="s">
        <v>457</v>
      </c>
      <c r="F864" s="7" t="s">
        <v>402</v>
      </c>
      <c r="G864" s="7" t="s">
        <v>44</v>
      </c>
      <c r="O864" s="7" t="s">
        <v>525</v>
      </c>
      <c r="P864" s="8" t="s">
        <v>581</v>
      </c>
      <c r="S864" s="11" t="s">
        <v>403</v>
      </c>
      <c r="T864" s="7" t="str">
        <f aca="false">_xlfn.TEXTJOIN( , ,B864,C864)</f>
        <v>machine_room_v4Spot Cam - PTZ - 9 spot-cam-ptz.jpg</v>
      </c>
    </row>
    <row r="865" s="7" customFormat="true" ht="15.75" hidden="false" customHeight="true" outlineLevel="0" collapsed="false">
      <c r="A865" s="7" t="s">
        <v>20</v>
      </c>
      <c r="B865" s="7" t="s">
        <v>583</v>
      </c>
      <c r="C865" s="7" t="s">
        <v>22</v>
      </c>
      <c r="D865" s="7" t="s">
        <v>41</v>
      </c>
      <c r="E865" s="7" t="s">
        <v>42</v>
      </c>
      <c r="F865" s="7" t="s">
        <v>43</v>
      </c>
      <c r="G865" s="7" t="s">
        <v>44</v>
      </c>
      <c r="O865" s="8" t="s">
        <v>45</v>
      </c>
      <c r="P865" s="8" t="s">
        <v>46</v>
      </c>
      <c r="Q865" s="8" t="s">
        <v>47</v>
      </c>
      <c r="S865" s="11" t="s">
        <v>48</v>
      </c>
      <c r="T865" s="7" t="str">
        <f aca="false">_xlfn.TEXTJOIN( , ,B865,C865)</f>
        <v>UPS_roomSpot Cam - PTZ - 1 spot-cam-ptz.jpg</v>
      </c>
    </row>
    <row r="866" s="7" customFormat="true" ht="15.75" hidden="false" customHeight="true" outlineLevel="0" collapsed="false">
      <c r="A866" s="7" t="s">
        <v>20</v>
      </c>
      <c r="B866" s="7" t="s">
        <v>583</v>
      </c>
      <c r="C866" s="7" t="s">
        <v>33</v>
      </c>
      <c r="D866" s="7" t="s">
        <v>584</v>
      </c>
      <c r="E866" s="7" t="s">
        <v>457</v>
      </c>
      <c r="F866" s="7" t="s">
        <v>402</v>
      </c>
      <c r="G866" s="7" t="s">
        <v>44</v>
      </c>
      <c r="O866" s="8" t="s">
        <v>325</v>
      </c>
      <c r="P866" s="8" t="s">
        <v>585</v>
      </c>
      <c r="S866" s="11" t="s">
        <v>403</v>
      </c>
      <c r="T866" s="7" t="str">
        <f aca="false">_xlfn.TEXTJOIN( , ,B866,C866)</f>
        <v>UPS_roomSpot Cam - PTZ - 10 spot-cam-ptz.jpg</v>
      </c>
    </row>
    <row r="867" s="7" customFormat="true" ht="15.75" hidden="true" customHeight="true" outlineLevel="0" collapsed="false">
      <c r="A867" s="7" t="s">
        <v>20</v>
      </c>
      <c r="B867" s="7" t="s">
        <v>583</v>
      </c>
      <c r="C867" s="7" t="s">
        <v>33</v>
      </c>
      <c r="D867" s="7" t="s">
        <v>584</v>
      </c>
      <c r="E867" s="10" t="s">
        <v>224</v>
      </c>
      <c r="F867" s="7" t="s">
        <v>94</v>
      </c>
      <c r="G867" s="7" t="s">
        <v>78</v>
      </c>
      <c r="O867" s="8" t="s">
        <v>325</v>
      </c>
      <c r="P867" s="8" t="s">
        <v>585</v>
      </c>
      <c r="T867" s="7" t="str">
        <f aca="false">_xlfn.TEXTJOIN( , ,B867,C867)</f>
        <v>UPS_roomSpot Cam - PTZ - 10 spot-cam-ptz.jpg</v>
      </c>
    </row>
    <row r="868" s="7" customFormat="true" ht="15.75" hidden="true" customHeight="true" outlineLevel="0" collapsed="false">
      <c r="A868" s="7" t="s">
        <v>20</v>
      </c>
      <c r="B868" s="7" t="s">
        <v>583</v>
      </c>
      <c r="C868" s="7" t="s">
        <v>33</v>
      </c>
      <c r="D868" s="7" t="s">
        <v>584</v>
      </c>
      <c r="E868" s="10" t="s">
        <v>83</v>
      </c>
      <c r="F868" s="7" t="s">
        <v>181</v>
      </c>
      <c r="G868" s="7" t="s">
        <v>78</v>
      </c>
      <c r="O868" s="8" t="s">
        <v>325</v>
      </c>
      <c r="P868" s="8" t="s">
        <v>585</v>
      </c>
      <c r="T868" s="7" t="str">
        <f aca="false">_xlfn.TEXTJOIN( , ,B868,C868)</f>
        <v>UPS_roomSpot Cam - PTZ - 10 spot-cam-ptz.jpg</v>
      </c>
    </row>
    <row r="869" s="7" customFormat="true" ht="15.75" hidden="true" customHeight="true" outlineLevel="0" collapsed="false">
      <c r="A869" s="7" t="s">
        <v>20</v>
      </c>
      <c r="B869" s="7" t="s">
        <v>583</v>
      </c>
      <c r="C869" s="7" t="s">
        <v>33</v>
      </c>
      <c r="D869" s="7" t="s">
        <v>584</v>
      </c>
      <c r="E869" s="10" t="s">
        <v>85</v>
      </c>
      <c r="F869" s="7" t="s">
        <v>181</v>
      </c>
      <c r="G869" s="7" t="s">
        <v>78</v>
      </c>
      <c r="O869" s="8" t="s">
        <v>325</v>
      </c>
      <c r="P869" s="8" t="s">
        <v>585</v>
      </c>
      <c r="T869" s="7" t="str">
        <f aca="false">_xlfn.TEXTJOIN( , ,B869,C869)</f>
        <v>UPS_roomSpot Cam - PTZ - 10 spot-cam-ptz.jpg</v>
      </c>
    </row>
    <row r="870" s="7" customFormat="true" ht="15.75" hidden="true" customHeight="true" outlineLevel="0" collapsed="false">
      <c r="A870" s="7" t="s">
        <v>20</v>
      </c>
      <c r="B870" s="7" t="s">
        <v>583</v>
      </c>
      <c r="C870" s="7" t="s">
        <v>33</v>
      </c>
      <c r="D870" s="7" t="s">
        <v>584</v>
      </c>
      <c r="E870" s="10" t="s">
        <v>226</v>
      </c>
      <c r="F870" s="7" t="s">
        <v>95</v>
      </c>
      <c r="G870" s="7" t="s">
        <v>78</v>
      </c>
      <c r="O870" s="8" t="s">
        <v>325</v>
      </c>
      <c r="P870" s="8" t="s">
        <v>585</v>
      </c>
      <c r="T870" s="7" t="str">
        <f aca="false">_xlfn.TEXTJOIN( , ,B870,C870)</f>
        <v>UPS_roomSpot Cam - PTZ - 10 spot-cam-ptz.jpg</v>
      </c>
    </row>
    <row r="871" s="7" customFormat="true" ht="15.75" hidden="false" customHeight="true" outlineLevel="0" collapsed="false">
      <c r="A871" s="7" t="s">
        <v>20</v>
      </c>
      <c r="B871" s="7" t="s">
        <v>583</v>
      </c>
      <c r="C871" s="7" t="s">
        <v>40</v>
      </c>
      <c r="D871" s="7" t="s">
        <v>586</v>
      </c>
      <c r="E871" s="10" t="s">
        <v>587</v>
      </c>
      <c r="F871" s="10" t="s">
        <v>588</v>
      </c>
      <c r="G871" s="7" t="s">
        <v>44</v>
      </c>
      <c r="O871" s="7" t="s">
        <v>589</v>
      </c>
      <c r="S871" s="11" t="s">
        <v>590</v>
      </c>
      <c r="T871" s="7" t="str">
        <f aca="false">_xlfn.TEXTJOIN( , ,B871,C871)</f>
        <v>UPS_roomSpot Cam - PTZ - 11 spot-cam-ptz.jpg</v>
      </c>
    </row>
    <row r="872" s="7" customFormat="true" ht="15.75" hidden="false" customHeight="true" outlineLevel="0" collapsed="false">
      <c r="A872" s="7" t="s">
        <v>20</v>
      </c>
      <c r="B872" s="7" t="s">
        <v>583</v>
      </c>
      <c r="C872" s="7" t="s">
        <v>49</v>
      </c>
      <c r="D872" s="7" t="s">
        <v>591</v>
      </c>
      <c r="E872" s="10" t="s">
        <v>592</v>
      </c>
      <c r="F872" s="10" t="s">
        <v>588</v>
      </c>
      <c r="G872" s="7" t="s">
        <v>44</v>
      </c>
      <c r="O872" s="7" t="s">
        <v>589</v>
      </c>
      <c r="S872" s="11" t="s">
        <v>593</v>
      </c>
      <c r="T872" s="7" t="str">
        <f aca="false">_xlfn.TEXTJOIN( , ,B872,C872)</f>
        <v>UPS_roomSpot Cam - PTZ - 12 spot-cam-ptz.jpg</v>
      </c>
    </row>
    <row r="873" s="7" customFormat="true" ht="15.75" hidden="false" customHeight="true" outlineLevel="0" collapsed="false">
      <c r="A873" s="7" t="s">
        <v>20</v>
      </c>
      <c r="B873" s="7" t="s">
        <v>583</v>
      </c>
      <c r="C873" s="7" t="s">
        <v>50</v>
      </c>
      <c r="D873" s="7" t="s">
        <v>41</v>
      </c>
      <c r="E873" s="7" t="s">
        <v>42</v>
      </c>
      <c r="F873" s="7" t="s">
        <v>43</v>
      </c>
      <c r="G873" s="7" t="s">
        <v>44</v>
      </c>
      <c r="O873" s="8" t="s">
        <v>45</v>
      </c>
      <c r="P873" s="8" t="s">
        <v>46</v>
      </c>
      <c r="Q873" s="8" t="s">
        <v>47</v>
      </c>
      <c r="S873" s="11" t="s">
        <v>48</v>
      </c>
      <c r="T873" s="7" t="str">
        <f aca="false">_xlfn.TEXTJOIN( , ,B873,C873)</f>
        <v>UPS_roomSpot Cam - PTZ - 13 spot-cam-ptz.jpg</v>
      </c>
    </row>
    <row r="874" s="7" customFormat="true" ht="15.75" hidden="true" customHeight="true" outlineLevel="0" collapsed="false">
      <c r="A874" s="7" t="s">
        <v>20</v>
      </c>
      <c r="B874" s="7" t="s">
        <v>583</v>
      </c>
      <c r="C874" s="7" t="s">
        <v>52</v>
      </c>
      <c r="D874" s="7" t="s">
        <v>23</v>
      </c>
      <c r="F874" s="7" t="s">
        <v>24</v>
      </c>
      <c r="G874" s="7" t="s">
        <v>25</v>
      </c>
      <c r="I874" s="8" t="s">
        <v>26</v>
      </c>
      <c r="J874" s="8" t="s">
        <v>53</v>
      </c>
      <c r="T874" s="7" t="str">
        <f aca="false">_xlfn.TEXTJOIN( , ,B874,C874)</f>
        <v>UPS_roomSpot Cam - PTZ - 15 spot-cam-ptz.jpg</v>
      </c>
    </row>
    <row r="875" s="7" customFormat="true" ht="15.75" hidden="true" customHeight="true" outlineLevel="0" collapsed="false">
      <c r="A875" s="7" t="s">
        <v>20</v>
      </c>
      <c r="B875" s="7" t="s">
        <v>583</v>
      </c>
      <c r="C875" s="7" t="s">
        <v>52</v>
      </c>
      <c r="D875" s="7" t="s">
        <v>23</v>
      </c>
      <c r="F875" s="7" t="s">
        <v>24</v>
      </c>
      <c r="G875" s="7" t="s">
        <v>25</v>
      </c>
      <c r="O875" s="8" t="s">
        <v>26</v>
      </c>
      <c r="P875" s="8" t="s">
        <v>53</v>
      </c>
      <c r="T875" s="7" t="str">
        <f aca="false">_xlfn.TEXTJOIN( , ,B875,C875)</f>
        <v>UPS_roomSpot Cam - PTZ - 15 spot-cam-ptz.jpg</v>
      </c>
    </row>
    <row r="876" s="7" customFormat="true" ht="15.75" hidden="true" customHeight="true" outlineLevel="0" collapsed="false">
      <c r="A876" s="7" t="s">
        <v>20</v>
      </c>
      <c r="B876" s="7" t="s">
        <v>583</v>
      </c>
      <c r="C876" s="7" t="s">
        <v>52</v>
      </c>
      <c r="D876" s="7" t="s">
        <v>23</v>
      </c>
      <c r="E876" s="7" t="s">
        <v>30</v>
      </c>
      <c r="F876" s="7" t="s">
        <v>31</v>
      </c>
      <c r="G876" s="7" t="s">
        <v>25</v>
      </c>
      <c r="O876" s="8" t="s">
        <v>26</v>
      </c>
      <c r="P876" s="8" t="s">
        <v>53</v>
      </c>
      <c r="T876" s="7" t="str">
        <f aca="false">_xlfn.TEXTJOIN( , ,B876,C876)</f>
        <v>UPS_roomSpot Cam - PTZ - 15 spot-cam-ptz.jpg</v>
      </c>
    </row>
    <row r="877" s="7" customFormat="true" ht="15.75" hidden="true" customHeight="true" outlineLevel="0" collapsed="false">
      <c r="A877" s="7" t="s">
        <v>20</v>
      </c>
      <c r="B877" s="7" t="s">
        <v>583</v>
      </c>
      <c r="C877" s="7" t="s">
        <v>55</v>
      </c>
      <c r="D877" s="7" t="s">
        <v>23</v>
      </c>
      <c r="E877" s="7" t="s">
        <v>34</v>
      </c>
      <c r="F877" s="7" t="s">
        <v>35</v>
      </c>
      <c r="G877" s="7" t="s">
        <v>36</v>
      </c>
      <c r="J877" s="7" t="n">
        <v>0</v>
      </c>
      <c r="K877" s="7" t="n">
        <v>10</v>
      </c>
      <c r="L877" s="7" t="n">
        <v>4</v>
      </c>
      <c r="M877" s="7" t="n">
        <v>9</v>
      </c>
      <c r="N877" s="10" t="s">
        <v>37</v>
      </c>
      <c r="O877" s="8" t="s">
        <v>26</v>
      </c>
      <c r="P877" s="8" t="s">
        <v>32</v>
      </c>
      <c r="R877" s="10" t="s">
        <v>38</v>
      </c>
      <c r="T877" s="7" t="str">
        <f aca="false">_xlfn.TEXTJOIN( , ,B877,C877)</f>
        <v>UPS_roomSpot Cam - PTZ - 16 spot-cam-ptz.jpg</v>
      </c>
    </row>
    <row r="878" s="7" customFormat="true" ht="15.75" hidden="true" customHeight="true" outlineLevel="0" collapsed="false">
      <c r="A878" s="7" t="s">
        <v>20</v>
      </c>
      <c r="B878" s="7" t="s">
        <v>583</v>
      </c>
      <c r="C878" s="7" t="s">
        <v>55</v>
      </c>
      <c r="D878" s="7" t="s">
        <v>23</v>
      </c>
      <c r="E878" s="7" t="s">
        <v>39</v>
      </c>
      <c r="F878" s="7" t="s">
        <v>35</v>
      </c>
      <c r="G878" s="7" t="s">
        <v>36</v>
      </c>
      <c r="J878" s="7" t="n">
        <v>0</v>
      </c>
      <c r="K878" s="7" t="n">
        <v>10</v>
      </c>
      <c r="L878" s="7" t="n">
        <v>4</v>
      </c>
      <c r="M878" s="7" t="n">
        <v>9</v>
      </c>
      <c r="N878" s="10" t="s">
        <v>37</v>
      </c>
      <c r="O878" s="8" t="s">
        <v>26</v>
      </c>
      <c r="P878" s="8" t="s">
        <v>32</v>
      </c>
      <c r="R878" s="10" t="s">
        <v>38</v>
      </c>
      <c r="T878" s="7" t="str">
        <f aca="false">_xlfn.TEXTJOIN( , ,B878,C878)</f>
        <v>UPS_roomSpot Cam - PTZ - 16 spot-cam-ptz.jpg</v>
      </c>
    </row>
    <row r="879" s="7" customFormat="true" ht="15.75" hidden="false" customHeight="true" outlineLevel="0" collapsed="false">
      <c r="A879" s="7" t="s">
        <v>20</v>
      </c>
      <c r="B879" s="7" t="s">
        <v>583</v>
      </c>
      <c r="C879" s="7" t="s">
        <v>56</v>
      </c>
      <c r="D879" s="7" t="s">
        <v>41</v>
      </c>
      <c r="E879" s="7" t="s">
        <v>42</v>
      </c>
      <c r="F879" s="7" t="s">
        <v>43</v>
      </c>
      <c r="G879" s="7" t="s">
        <v>44</v>
      </c>
      <c r="O879" s="8" t="s">
        <v>45</v>
      </c>
      <c r="P879" s="8" t="s">
        <v>46</v>
      </c>
      <c r="Q879" s="8" t="s">
        <v>47</v>
      </c>
      <c r="S879" s="11" t="s">
        <v>48</v>
      </c>
      <c r="T879" s="7" t="str">
        <f aca="false">_xlfn.TEXTJOIN( , ,B879,C879)</f>
        <v>UPS_roomSpot Cam - PTZ - 17 spot-cam-ptz.jpg</v>
      </c>
    </row>
    <row r="880" s="7" customFormat="true" ht="15.75" hidden="true" customHeight="true" outlineLevel="0" collapsed="false">
      <c r="A880" s="7" t="s">
        <v>20</v>
      </c>
      <c r="B880" s="7" t="s">
        <v>583</v>
      </c>
      <c r="C880" s="7" t="s">
        <v>108</v>
      </c>
      <c r="D880" s="7" t="s">
        <v>594</v>
      </c>
      <c r="E880" s="10" t="s">
        <v>224</v>
      </c>
      <c r="F880" s="7" t="s">
        <v>94</v>
      </c>
      <c r="G880" s="7" t="s">
        <v>78</v>
      </c>
      <c r="O880" s="8" t="s">
        <v>325</v>
      </c>
      <c r="P880" s="8" t="s">
        <v>585</v>
      </c>
      <c r="T880" s="7" t="str">
        <f aca="false">_xlfn.TEXTJOIN( , ,B880,C880)</f>
        <v>UPS_roomSpot Cam - PTZ - 18 spot-cam-ptz.jpg</v>
      </c>
    </row>
    <row r="881" s="7" customFormat="true" ht="15.75" hidden="true" customHeight="true" outlineLevel="0" collapsed="false">
      <c r="A881" s="7" t="s">
        <v>20</v>
      </c>
      <c r="B881" s="7" t="s">
        <v>583</v>
      </c>
      <c r="C881" s="7" t="s">
        <v>108</v>
      </c>
      <c r="D881" s="7" t="s">
        <v>595</v>
      </c>
      <c r="E881" s="10" t="s">
        <v>224</v>
      </c>
      <c r="F881" s="7" t="s">
        <v>94</v>
      </c>
      <c r="G881" s="7" t="s">
        <v>78</v>
      </c>
      <c r="O881" s="8" t="s">
        <v>325</v>
      </c>
      <c r="P881" s="8" t="s">
        <v>585</v>
      </c>
      <c r="T881" s="7" t="str">
        <f aca="false">_xlfn.TEXTJOIN( , ,B881,C881)</f>
        <v>UPS_roomSpot Cam - PTZ - 18 spot-cam-ptz.jpg</v>
      </c>
    </row>
    <row r="882" s="7" customFormat="true" ht="15.75" hidden="true" customHeight="true" outlineLevel="0" collapsed="false">
      <c r="A882" s="7" t="s">
        <v>20</v>
      </c>
      <c r="B882" s="7" t="s">
        <v>583</v>
      </c>
      <c r="C882" s="7" t="s">
        <v>108</v>
      </c>
      <c r="D882" s="7" t="s">
        <v>594</v>
      </c>
      <c r="E882" s="10" t="s">
        <v>83</v>
      </c>
      <c r="F882" s="7" t="s">
        <v>181</v>
      </c>
      <c r="G882" s="7" t="s">
        <v>78</v>
      </c>
      <c r="O882" s="8" t="s">
        <v>325</v>
      </c>
      <c r="P882" s="8" t="s">
        <v>585</v>
      </c>
      <c r="T882" s="7" t="str">
        <f aca="false">_xlfn.TEXTJOIN( , ,B882,C882)</f>
        <v>UPS_roomSpot Cam - PTZ - 18 spot-cam-ptz.jpg</v>
      </c>
    </row>
    <row r="883" s="7" customFormat="true" ht="15.75" hidden="true" customHeight="true" outlineLevel="0" collapsed="false">
      <c r="A883" s="7" t="s">
        <v>20</v>
      </c>
      <c r="B883" s="7" t="s">
        <v>583</v>
      </c>
      <c r="C883" s="7" t="s">
        <v>108</v>
      </c>
      <c r="D883" s="7" t="s">
        <v>594</v>
      </c>
      <c r="E883" s="10" t="s">
        <v>85</v>
      </c>
      <c r="F883" s="7" t="s">
        <v>181</v>
      </c>
      <c r="G883" s="7" t="s">
        <v>78</v>
      </c>
      <c r="O883" s="8" t="s">
        <v>325</v>
      </c>
      <c r="P883" s="8" t="s">
        <v>585</v>
      </c>
      <c r="T883" s="7" t="str">
        <f aca="false">_xlfn.TEXTJOIN( , ,B883,C883)</f>
        <v>UPS_roomSpot Cam - PTZ - 18 spot-cam-ptz.jpg</v>
      </c>
    </row>
    <row r="884" s="7" customFormat="true" ht="15.75" hidden="true" customHeight="true" outlineLevel="0" collapsed="false">
      <c r="A884" s="7" t="s">
        <v>20</v>
      </c>
      <c r="B884" s="7" t="s">
        <v>583</v>
      </c>
      <c r="C884" s="7" t="s">
        <v>108</v>
      </c>
      <c r="D884" s="7" t="s">
        <v>595</v>
      </c>
      <c r="E884" s="7" t="s">
        <v>83</v>
      </c>
      <c r="F884" s="10" t="s">
        <v>181</v>
      </c>
      <c r="G884" s="10" t="s">
        <v>78</v>
      </c>
      <c r="O884" s="8" t="s">
        <v>325</v>
      </c>
      <c r="P884" s="8" t="s">
        <v>585</v>
      </c>
      <c r="T884" s="7" t="str">
        <f aca="false">_xlfn.TEXTJOIN( , ,B884,C884)</f>
        <v>UPS_roomSpot Cam - PTZ - 18 spot-cam-ptz.jpg</v>
      </c>
    </row>
    <row r="885" s="7" customFormat="true" ht="15.75" hidden="true" customHeight="true" outlineLevel="0" collapsed="false">
      <c r="A885" s="7" t="s">
        <v>20</v>
      </c>
      <c r="B885" s="7" t="s">
        <v>583</v>
      </c>
      <c r="C885" s="7" t="s">
        <v>108</v>
      </c>
      <c r="D885" s="7" t="s">
        <v>595</v>
      </c>
      <c r="E885" s="10" t="s">
        <v>83</v>
      </c>
      <c r="F885" s="7" t="s">
        <v>181</v>
      </c>
      <c r="G885" s="7" t="s">
        <v>78</v>
      </c>
      <c r="O885" s="8" t="s">
        <v>325</v>
      </c>
      <c r="P885" s="8" t="s">
        <v>585</v>
      </c>
      <c r="T885" s="7" t="str">
        <f aca="false">_xlfn.TEXTJOIN( , ,B885,C885)</f>
        <v>UPS_roomSpot Cam - PTZ - 18 spot-cam-ptz.jpg</v>
      </c>
    </row>
    <row r="886" s="7" customFormat="true" ht="15.75" hidden="true" customHeight="true" outlineLevel="0" collapsed="false">
      <c r="A886" s="7" t="s">
        <v>20</v>
      </c>
      <c r="B886" s="7" t="s">
        <v>583</v>
      </c>
      <c r="C886" s="7" t="s">
        <v>108</v>
      </c>
      <c r="D886" s="7" t="s">
        <v>595</v>
      </c>
      <c r="E886" s="10" t="s">
        <v>85</v>
      </c>
      <c r="F886" s="7" t="s">
        <v>181</v>
      </c>
      <c r="G886" s="7" t="s">
        <v>78</v>
      </c>
      <c r="O886" s="8" t="s">
        <v>325</v>
      </c>
      <c r="P886" s="8" t="s">
        <v>585</v>
      </c>
      <c r="T886" s="7" t="str">
        <f aca="false">_xlfn.TEXTJOIN( , ,B886,C886)</f>
        <v>UPS_roomSpot Cam - PTZ - 18 spot-cam-ptz.jpg</v>
      </c>
    </row>
    <row r="887" s="7" customFormat="true" ht="15.75" hidden="true" customHeight="true" outlineLevel="0" collapsed="false">
      <c r="A887" s="7" t="s">
        <v>20</v>
      </c>
      <c r="B887" s="7" t="s">
        <v>583</v>
      </c>
      <c r="C887" s="7" t="s">
        <v>108</v>
      </c>
      <c r="D887" s="7" t="s">
        <v>594</v>
      </c>
      <c r="E887" s="10" t="s">
        <v>226</v>
      </c>
      <c r="F887" s="7" t="s">
        <v>95</v>
      </c>
      <c r="G887" s="7" t="s">
        <v>78</v>
      </c>
      <c r="O887" s="8" t="s">
        <v>325</v>
      </c>
      <c r="P887" s="8" t="s">
        <v>585</v>
      </c>
      <c r="T887" s="7" t="str">
        <f aca="false">_xlfn.TEXTJOIN( , ,B887,C887)</f>
        <v>UPS_roomSpot Cam - PTZ - 18 spot-cam-ptz.jpg</v>
      </c>
    </row>
    <row r="888" s="7" customFormat="true" ht="15.75" hidden="true" customHeight="true" outlineLevel="0" collapsed="false">
      <c r="A888" s="7" t="s">
        <v>20</v>
      </c>
      <c r="B888" s="7" t="s">
        <v>583</v>
      </c>
      <c r="C888" s="7" t="s">
        <v>108</v>
      </c>
      <c r="D888" s="7" t="s">
        <v>595</v>
      </c>
      <c r="E888" s="10" t="s">
        <v>226</v>
      </c>
      <c r="F888" s="7" t="s">
        <v>95</v>
      </c>
      <c r="G888" s="7" t="s">
        <v>78</v>
      </c>
      <c r="O888" s="8" t="s">
        <v>325</v>
      </c>
      <c r="P888" s="8" t="s">
        <v>585</v>
      </c>
      <c r="T888" s="7" t="str">
        <f aca="false">_xlfn.TEXTJOIN( , ,B888,C888)</f>
        <v>UPS_roomSpot Cam - PTZ - 18 spot-cam-ptz.jpg</v>
      </c>
    </row>
    <row r="889" s="7" customFormat="true" ht="15.75" hidden="true" customHeight="true" outlineLevel="0" collapsed="false">
      <c r="A889" s="7" t="s">
        <v>20</v>
      </c>
      <c r="B889" s="7" t="s">
        <v>583</v>
      </c>
      <c r="C889" s="7" t="s">
        <v>108</v>
      </c>
      <c r="D889" s="7" t="s">
        <v>594</v>
      </c>
      <c r="E889" s="10" t="s">
        <v>276</v>
      </c>
      <c r="F889" s="7" t="s">
        <v>101</v>
      </c>
      <c r="G889" s="7" t="s">
        <v>102</v>
      </c>
      <c r="O889" s="8" t="s">
        <v>325</v>
      </c>
      <c r="P889" s="8" t="s">
        <v>585</v>
      </c>
      <c r="T889" s="7" t="str">
        <f aca="false">_xlfn.TEXTJOIN( , ,B889,C889)</f>
        <v>UPS_roomSpot Cam - PTZ - 18 spot-cam-ptz.jpg</v>
      </c>
    </row>
    <row r="890" s="7" customFormat="true" ht="15.75" hidden="true" customHeight="true" outlineLevel="0" collapsed="false">
      <c r="A890" s="7" t="s">
        <v>20</v>
      </c>
      <c r="B890" s="7" t="s">
        <v>583</v>
      </c>
      <c r="C890" s="7" t="s">
        <v>108</v>
      </c>
      <c r="D890" s="7" t="s">
        <v>595</v>
      </c>
      <c r="E890" s="10" t="s">
        <v>276</v>
      </c>
      <c r="F890" s="7" t="s">
        <v>101</v>
      </c>
      <c r="G890" s="7" t="s">
        <v>102</v>
      </c>
      <c r="O890" s="8" t="s">
        <v>325</v>
      </c>
      <c r="P890" s="8" t="s">
        <v>585</v>
      </c>
      <c r="T890" s="7" t="str">
        <f aca="false">_xlfn.TEXTJOIN( , ,B890,C890)</f>
        <v>UPS_roomSpot Cam - PTZ - 18 spot-cam-ptz.jpg</v>
      </c>
    </row>
    <row r="891" s="7" customFormat="true" ht="15.75" hidden="false" customHeight="true" outlineLevel="0" collapsed="false">
      <c r="A891" s="7" t="s">
        <v>20</v>
      </c>
      <c r="B891" s="7" t="s">
        <v>583</v>
      </c>
      <c r="C891" s="7" t="s">
        <v>262</v>
      </c>
      <c r="D891" s="7" t="s">
        <v>595</v>
      </c>
      <c r="E891" s="7" t="s">
        <v>457</v>
      </c>
      <c r="F891" s="7" t="s">
        <v>402</v>
      </c>
      <c r="G891" s="7" t="s">
        <v>44</v>
      </c>
      <c r="O891" s="8" t="s">
        <v>325</v>
      </c>
      <c r="P891" s="8" t="s">
        <v>585</v>
      </c>
      <c r="S891" s="11" t="s">
        <v>403</v>
      </c>
      <c r="T891" s="7" t="str">
        <f aca="false">_xlfn.TEXTJOIN( , ,B891,C891)</f>
        <v>UPS_roomSpot Cam - PTZ - 19 spot-cam-ptz.jpg</v>
      </c>
    </row>
    <row r="892" s="7" customFormat="true" ht="15.75" hidden="true" customHeight="true" outlineLevel="0" collapsed="false">
      <c r="A892" s="7" t="s">
        <v>20</v>
      </c>
      <c r="B892" s="7" t="s">
        <v>583</v>
      </c>
      <c r="C892" s="7" t="s">
        <v>262</v>
      </c>
      <c r="D892" s="7" t="s">
        <v>595</v>
      </c>
      <c r="E892" s="10" t="s">
        <v>224</v>
      </c>
      <c r="F892" s="7" t="s">
        <v>94</v>
      </c>
      <c r="G892" s="7" t="s">
        <v>78</v>
      </c>
      <c r="O892" s="8" t="s">
        <v>325</v>
      </c>
      <c r="P892" s="8" t="s">
        <v>585</v>
      </c>
      <c r="T892" s="7" t="str">
        <f aca="false">_xlfn.TEXTJOIN( , ,B892,C892)</f>
        <v>UPS_roomSpot Cam - PTZ - 19 spot-cam-ptz.jpg</v>
      </c>
    </row>
    <row r="893" s="7" customFormat="true" ht="15.75" hidden="true" customHeight="true" outlineLevel="0" collapsed="false">
      <c r="A893" s="7" t="s">
        <v>20</v>
      </c>
      <c r="B893" s="7" t="s">
        <v>583</v>
      </c>
      <c r="C893" s="7" t="s">
        <v>262</v>
      </c>
      <c r="D893" s="7" t="s">
        <v>595</v>
      </c>
      <c r="E893" s="10" t="s">
        <v>83</v>
      </c>
      <c r="F893" s="7" t="s">
        <v>181</v>
      </c>
      <c r="G893" s="7" t="s">
        <v>78</v>
      </c>
      <c r="O893" s="8" t="s">
        <v>325</v>
      </c>
      <c r="P893" s="8" t="s">
        <v>585</v>
      </c>
      <c r="T893" s="7" t="str">
        <f aca="false">_xlfn.TEXTJOIN( , ,B893,C893)</f>
        <v>UPS_roomSpot Cam - PTZ - 19 spot-cam-ptz.jpg</v>
      </c>
    </row>
    <row r="894" s="7" customFormat="true" ht="15.75" hidden="true" customHeight="true" outlineLevel="0" collapsed="false">
      <c r="A894" s="7" t="s">
        <v>20</v>
      </c>
      <c r="B894" s="7" t="s">
        <v>583</v>
      </c>
      <c r="C894" s="7" t="s">
        <v>262</v>
      </c>
      <c r="D894" s="7" t="s">
        <v>595</v>
      </c>
      <c r="E894" s="10" t="s">
        <v>85</v>
      </c>
      <c r="F894" s="7" t="s">
        <v>181</v>
      </c>
      <c r="G894" s="7" t="s">
        <v>78</v>
      </c>
      <c r="O894" s="8" t="s">
        <v>325</v>
      </c>
      <c r="P894" s="8" t="s">
        <v>585</v>
      </c>
      <c r="T894" s="7" t="str">
        <f aca="false">_xlfn.TEXTJOIN( , ,B894,C894)</f>
        <v>UPS_roomSpot Cam - PTZ - 19 spot-cam-ptz.jpg</v>
      </c>
    </row>
    <row r="895" s="7" customFormat="true" ht="15.75" hidden="true" customHeight="true" outlineLevel="0" collapsed="false">
      <c r="A895" s="7" t="s">
        <v>20</v>
      </c>
      <c r="B895" s="7" t="s">
        <v>583</v>
      </c>
      <c r="C895" s="7" t="s">
        <v>262</v>
      </c>
      <c r="D895" s="7" t="s">
        <v>595</v>
      </c>
      <c r="E895" s="10" t="s">
        <v>226</v>
      </c>
      <c r="F895" s="7" t="s">
        <v>95</v>
      </c>
      <c r="G895" s="7" t="s">
        <v>78</v>
      </c>
      <c r="O895" s="8" t="s">
        <v>325</v>
      </c>
      <c r="P895" s="8" t="s">
        <v>585</v>
      </c>
      <c r="T895" s="7" t="str">
        <f aca="false">_xlfn.TEXTJOIN( , ,B895,C895)</f>
        <v>UPS_roomSpot Cam - PTZ - 19 spot-cam-ptz.jpg</v>
      </c>
    </row>
    <row r="896" s="7" customFormat="true" ht="15.75" hidden="false" customHeight="true" outlineLevel="0" collapsed="false">
      <c r="A896" s="7" t="s">
        <v>20</v>
      </c>
      <c r="B896" s="7" t="s">
        <v>583</v>
      </c>
      <c r="C896" s="7" t="s">
        <v>61</v>
      </c>
      <c r="D896" s="7" t="s">
        <v>41</v>
      </c>
      <c r="E896" s="7" t="s">
        <v>42</v>
      </c>
      <c r="F896" s="7" t="s">
        <v>43</v>
      </c>
      <c r="G896" s="7" t="s">
        <v>44</v>
      </c>
      <c r="O896" s="8" t="s">
        <v>45</v>
      </c>
      <c r="P896" s="8" t="s">
        <v>46</v>
      </c>
      <c r="Q896" s="8" t="s">
        <v>47</v>
      </c>
      <c r="S896" s="11" t="s">
        <v>48</v>
      </c>
      <c r="T896" s="7" t="str">
        <f aca="false">_xlfn.TEXTJOIN( , ,B896,C896)</f>
        <v>UPS_roomSpot Cam - PTZ - 2 spot-cam-ptz.jpg</v>
      </c>
    </row>
    <row r="897" s="7" customFormat="true" ht="15.75" hidden="false" customHeight="true" outlineLevel="0" collapsed="false">
      <c r="A897" s="7" t="s">
        <v>20</v>
      </c>
      <c r="B897" s="7" t="s">
        <v>583</v>
      </c>
      <c r="C897" s="7" t="s">
        <v>109</v>
      </c>
      <c r="D897" s="7" t="s">
        <v>594</v>
      </c>
      <c r="E897" s="7" t="s">
        <v>457</v>
      </c>
      <c r="F897" s="7" t="s">
        <v>402</v>
      </c>
      <c r="G897" s="7" t="s">
        <v>44</v>
      </c>
      <c r="O897" s="8" t="s">
        <v>325</v>
      </c>
      <c r="P897" s="8" t="s">
        <v>585</v>
      </c>
      <c r="S897" s="11" t="s">
        <v>403</v>
      </c>
      <c r="T897" s="7" t="str">
        <f aca="false">_xlfn.TEXTJOIN( , ,B897,C897)</f>
        <v>UPS_roomSpot Cam - PTZ - 20 spot-cam-ptz.jpg</v>
      </c>
    </row>
    <row r="898" s="7" customFormat="true" ht="15.75" hidden="true" customHeight="true" outlineLevel="0" collapsed="false">
      <c r="A898" s="7" t="s">
        <v>20</v>
      </c>
      <c r="B898" s="7" t="s">
        <v>583</v>
      </c>
      <c r="C898" s="7" t="s">
        <v>109</v>
      </c>
      <c r="D898" s="7" t="s">
        <v>594</v>
      </c>
      <c r="E898" s="10" t="s">
        <v>224</v>
      </c>
      <c r="F898" s="7" t="s">
        <v>94</v>
      </c>
      <c r="G898" s="7" t="s">
        <v>78</v>
      </c>
      <c r="O898" s="8" t="s">
        <v>325</v>
      </c>
      <c r="P898" s="8" t="s">
        <v>585</v>
      </c>
      <c r="T898" s="7" t="str">
        <f aca="false">_xlfn.TEXTJOIN( , ,B898,C898)</f>
        <v>UPS_roomSpot Cam - PTZ - 20 spot-cam-ptz.jpg</v>
      </c>
    </row>
    <row r="899" s="7" customFormat="true" ht="15.75" hidden="true" customHeight="true" outlineLevel="0" collapsed="false">
      <c r="A899" s="7" t="s">
        <v>20</v>
      </c>
      <c r="B899" s="7" t="s">
        <v>583</v>
      </c>
      <c r="C899" s="7" t="s">
        <v>109</v>
      </c>
      <c r="D899" s="7" t="s">
        <v>594</v>
      </c>
      <c r="E899" s="10" t="s">
        <v>83</v>
      </c>
      <c r="F899" s="7" t="s">
        <v>181</v>
      </c>
      <c r="G899" s="7" t="s">
        <v>78</v>
      </c>
      <c r="O899" s="8" t="s">
        <v>325</v>
      </c>
      <c r="P899" s="8" t="s">
        <v>585</v>
      </c>
      <c r="T899" s="7" t="str">
        <f aca="false">_xlfn.TEXTJOIN( , ,B899,C899)</f>
        <v>UPS_roomSpot Cam - PTZ - 20 spot-cam-ptz.jpg</v>
      </c>
    </row>
    <row r="900" s="7" customFormat="true" ht="15.75" hidden="true" customHeight="true" outlineLevel="0" collapsed="false">
      <c r="A900" s="7" t="s">
        <v>20</v>
      </c>
      <c r="B900" s="7" t="s">
        <v>583</v>
      </c>
      <c r="C900" s="7" t="s">
        <v>109</v>
      </c>
      <c r="D900" s="7" t="s">
        <v>594</v>
      </c>
      <c r="E900" s="10" t="s">
        <v>85</v>
      </c>
      <c r="F900" s="7" t="s">
        <v>181</v>
      </c>
      <c r="G900" s="7" t="s">
        <v>78</v>
      </c>
      <c r="O900" s="8" t="s">
        <v>325</v>
      </c>
      <c r="P900" s="8" t="s">
        <v>585</v>
      </c>
      <c r="T900" s="7" t="str">
        <f aca="false">_xlfn.TEXTJOIN( , ,B900,C900)</f>
        <v>UPS_roomSpot Cam - PTZ - 20 spot-cam-ptz.jpg</v>
      </c>
    </row>
    <row r="901" s="7" customFormat="true" ht="15.75" hidden="true" customHeight="true" outlineLevel="0" collapsed="false">
      <c r="A901" s="7" t="s">
        <v>20</v>
      </c>
      <c r="B901" s="7" t="s">
        <v>583</v>
      </c>
      <c r="C901" s="7" t="s">
        <v>109</v>
      </c>
      <c r="D901" s="7" t="s">
        <v>594</v>
      </c>
      <c r="E901" s="10" t="s">
        <v>226</v>
      </c>
      <c r="F901" s="7" t="s">
        <v>95</v>
      </c>
      <c r="G901" s="7" t="s">
        <v>78</v>
      </c>
      <c r="O901" s="8" t="s">
        <v>325</v>
      </c>
      <c r="P901" s="8" t="s">
        <v>585</v>
      </c>
      <c r="T901" s="7" t="str">
        <f aca="false">_xlfn.TEXTJOIN( , ,B901,C901)</f>
        <v>UPS_roomSpot Cam - PTZ - 20 spot-cam-ptz.jpg</v>
      </c>
    </row>
    <row r="902" s="7" customFormat="true" ht="15.75" hidden="false" customHeight="true" outlineLevel="0" collapsed="false">
      <c r="A902" s="7" t="s">
        <v>20</v>
      </c>
      <c r="B902" s="7" t="s">
        <v>583</v>
      </c>
      <c r="C902" s="7" t="s">
        <v>111</v>
      </c>
      <c r="D902" s="7" t="s">
        <v>596</v>
      </c>
      <c r="E902" s="10" t="s">
        <v>597</v>
      </c>
      <c r="F902" s="10" t="s">
        <v>588</v>
      </c>
      <c r="G902" s="7" t="s">
        <v>44</v>
      </c>
      <c r="O902" s="7" t="s">
        <v>589</v>
      </c>
      <c r="S902" s="11" t="s">
        <v>598</v>
      </c>
      <c r="T902" s="7" t="str">
        <f aca="false">_xlfn.TEXTJOIN( , ,B902,C902)</f>
        <v>UPS_roomSpot Cam - PTZ - 21 spot-cam-ptz.jpg</v>
      </c>
    </row>
    <row r="903" s="7" customFormat="true" ht="15.75" hidden="false" customHeight="true" outlineLevel="0" collapsed="false">
      <c r="A903" s="7" t="s">
        <v>20</v>
      </c>
      <c r="B903" s="7" t="s">
        <v>583</v>
      </c>
      <c r="C903" s="7" t="s">
        <v>113</v>
      </c>
      <c r="D903" s="7" t="s">
        <v>599</v>
      </c>
      <c r="E903" s="10" t="s">
        <v>600</v>
      </c>
      <c r="F903" s="10" t="s">
        <v>588</v>
      </c>
      <c r="G903" s="7" t="s">
        <v>44</v>
      </c>
      <c r="O903" s="7" t="s">
        <v>589</v>
      </c>
      <c r="S903" s="11" t="s">
        <v>601</v>
      </c>
      <c r="T903" s="7" t="str">
        <f aca="false">_xlfn.TEXTJOIN( , ,B903,C903)</f>
        <v>UPS_roomSpot Cam - PTZ - 22 spot-cam-ptz.jpg</v>
      </c>
    </row>
    <row r="904" s="7" customFormat="true" ht="15.75" hidden="false" customHeight="true" outlineLevel="0" collapsed="false">
      <c r="A904" s="7" t="s">
        <v>20</v>
      </c>
      <c r="B904" s="7" t="s">
        <v>583</v>
      </c>
      <c r="C904" s="7" t="s">
        <v>114</v>
      </c>
      <c r="D904" s="7" t="s">
        <v>41</v>
      </c>
      <c r="E904" s="7" t="s">
        <v>42</v>
      </c>
      <c r="F904" s="7" t="s">
        <v>43</v>
      </c>
      <c r="G904" s="7" t="s">
        <v>44</v>
      </c>
      <c r="O904" s="8" t="s">
        <v>45</v>
      </c>
      <c r="P904" s="8" t="s">
        <v>46</v>
      </c>
      <c r="Q904" s="8" t="s">
        <v>47</v>
      </c>
      <c r="S904" s="11" t="s">
        <v>48</v>
      </c>
      <c r="T904" s="7" t="str">
        <f aca="false">_xlfn.TEXTJOIN( , ,B904,C904)</f>
        <v>UPS_roomSpot Cam - PTZ - 23 spot-cam-ptz.jpg</v>
      </c>
    </row>
    <row r="905" s="7" customFormat="true" ht="15.75" hidden="true" customHeight="true" outlineLevel="0" collapsed="false">
      <c r="A905" s="7" t="s">
        <v>20</v>
      </c>
      <c r="B905" s="7" t="s">
        <v>583</v>
      </c>
      <c r="C905" s="7" t="s">
        <v>116</v>
      </c>
      <c r="D905" s="7" t="s">
        <v>23</v>
      </c>
      <c r="F905" s="7" t="s">
        <v>24</v>
      </c>
      <c r="G905" s="7" t="s">
        <v>25</v>
      </c>
      <c r="I905" s="8" t="s">
        <v>26</v>
      </c>
      <c r="J905" s="8" t="s">
        <v>53</v>
      </c>
      <c r="T905" s="7" t="str">
        <f aca="false">_xlfn.TEXTJOIN( , ,B905,C905)</f>
        <v>UPS_roomSpot Cam - PTZ - 24 spot-cam-ptz.jpg</v>
      </c>
    </row>
    <row r="906" s="7" customFormat="true" ht="15.75" hidden="true" customHeight="true" outlineLevel="0" collapsed="false">
      <c r="A906" s="7" t="s">
        <v>20</v>
      </c>
      <c r="B906" s="7" t="s">
        <v>583</v>
      </c>
      <c r="C906" s="7" t="s">
        <v>116</v>
      </c>
      <c r="D906" s="7" t="s">
        <v>23</v>
      </c>
      <c r="F906" s="7" t="s">
        <v>24</v>
      </c>
      <c r="G906" s="7" t="s">
        <v>25</v>
      </c>
      <c r="O906" s="8" t="s">
        <v>26</v>
      </c>
      <c r="P906" s="8" t="s">
        <v>53</v>
      </c>
      <c r="T906" s="7" t="str">
        <f aca="false">_xlfn.TEXTJOIN( , ,B906,C906)</f>
        <v>UPS_roomSpot Cam - PTZ - 24 spot-cam-ptz.jpg</v>
      </c>
    </row>
    <row r="907" s="7" customFormat="true" ht="15.75" hidden="true" customHeight="true" outlineLevel="0" collapsed="false">
      <c r="A907" s="7" t="s">
        <v>20</v>
      </c>
      <c r="B907" s="7" t="s">
        <v>583</v>
      </c>
      <c r="C907" s="7" t="s">
        <v>116</v>
      </c>
      <c r="D907" s="7" t="s">
        <v>23</v>
      </c>
      <c r="E907" s="7" t="s">
        <v>30</v>
      </c>
      <c r="F907" s="7" t="s">
        <v>31</v>
      </c>
      <c r="G907" s="7" t="s">
        <v>25</v>
      </c>
      <c r="O907" s="8" t="s">
        <v>26</v>
      </c>
      <c r="P907" s="8" t="s">
        <v>53</v>
      </c>
      <c r="T907" s="7" t="str">
        <f aca="false">_xlfn.TEXTJOIN( , ,B907,C907)</f>
        <v>UPS_roomSpot Cam - PTZ - 24 spot-cam-ptz.jpg</v>
      </c>
    </row>
    <row r="908" s="7" customFormat="true" ht="15.75" hidden="true" customHeight="true" outlineLevel="0" collapsed="false">
      <c r="A908" s="7" t="s">
        <v>20</v>
      </c>
      <c r="B908" s="7" t="s">
        <v>583</v>
      </c>
      <c r="C908" s="7" t="s">
        <v>118</v>
      </c>
      <c r="D908" s="7" t="s">
        <v>23</v>
      </c>
      <c r="E908" s="7" t="s">
        <v>34</v>
      </c>
      <c r="F908" s="7" t="s">
        <v>35</v>
      </c>
      <c r="G908" s="7" t="s">
        <v>36</v>
      </c>
      <c r="J908" s="7" t="n">
        <v>0</v>
      </c>
      <c r="K908" s="7" t="n">
        <v>10</v>
      </c>
      <c r="L908" s="7" t="n">
        <v>4</v>
      </c>
      <c r="M908" s="7" t="n">
        <v>9</v>
      </c>
      <c r="N908" s="10" t="s">
        <v>37</v>
      </c>
      <c r="O908" s="8" t="s">
        <v>26</v>
      </c>
      <c r="P908" s="8" t="s">
        <v>32</v>
      </c>
      <c r="R908" s="10" t="s">
        <v>38</v>
      </c>
      <c r="T908" s="7" t="str">
        <f aca="false">_xlfn.TEXTJOIN( , ,B908,C908)</f>
        <v>UPS_roomSpot Cam - PTZ - 25 spot-cam-ptz.jpg</v>
      </c>
    </row>
    <row r="909" s="7" customFormat="true" ht="15.75" hidden="true" customHeight="true" outlineLevel="0" collapsed="false">
      <c r="A909" s="7" t="s">
        <v>20</v>
      </c>
      <c r="B909" s="7" t="s">
        <v>583</v>
      </c>
      <c r="C909" s="7" t="s">
        <v>118</v>
      </c>
      <c r="D909" s="7" t="s">
        <v>23</v>
      </c>
      <c r="E909" s="7" t="s">
        <v>39</v>
      </c>
      <c r="F909" s="7" t="s">
        <v>35</v>
      </c>
      <c r="G909" s="7" t="s">
        <v>36</v>
      </c>
      <c r="J909" s="7" t="n">
        <v>0</v>
      </c>
      <c r="K909" s="7" t="n">
        <v>10</v>
      </c>
      <c r="L909" s="7" t="n">
        <v>4</v>
      </c>
      <c r="M909" s="7" t="n">
        <v>9</v>
      </c>
      <c r="N909" s="10" t="s">
        <v>37</v>
      </c>
      <c r="O909" s="8" t="s">
        <v>26</v>
      </c>
      <c r="P909" s="8" t="s">
        <v>32</v>
      </c>
      <c r="R909" s="10" t="s">
        <v>38</v>
      </c>
      <c r="T909" s="7" t="str">
        <f aca="false">_xlfn.TEXTJOIN( , ,B909,C909)</f>
        <v>UPS_roomSpot Cam - PTZ - 25 spot-cam-ptz.jpg</v>
      </c>
    </row>
    <row r="910" s="7" customFormat="true" ht="15.75" hidden="true" customHeight="true" outlineLevel="0" collapsed="false">
      <c r="A910" s="7" t="s">
        <v>20</v>
      </c>
      <c r="B910" s="7" t="s">
        <v>583</v>
      </c>
      <c r="C910" s="7" t="s">
        <v>119</v>
      </c>
      <c r="D910" s="7" t="s">
        <v>63</v>
      </c>
      <c r="F910" s="7" t="s">
        <v>64</v>
      </c>
      <c r="G910" s="7" t="s">
        <v>36</v>
      </c>
      <c r="J910" s="7" t="n">
        <v>-30</v>
      </c>
      <c r="K910" s="7" t="n">
        <v>50</v>
      </c>
      <c r="L910" s="7" t="n">
        <v>15</v>
      </c>
      <c r="M910" s="7" t="n">
        <v>25</v>
      </c>
      <c r="N910" s="7" t="s">
        <v>65</v>
      </c>
      <c r="O910" s="8" t="s">
        <v>45</v>
      </c>
      <c r="P910" s="8" t="s">
        <v>46</v>
      </c>
      <c r="Q910" s="8" t="s">
        <v>47</v>
      </c>
      <c r="T910" s="7" t="str">
        <f aca="false">_xlfn.TEXTJOIN( , ,B910,C910)</f>
        <v>UPS_roomSpot Cam - PTZ - 27 spot-cam-ptz.jpg</v>
      </c>
    </row>
    <row r="911" s="7" customFormat="true" ht="15.75" hidden="true" customHeight="true" outlineLevel="0" collapsed="false">
      <c r="A911" s="7" t="s">
        <v>20</v>
      </c>
      <c r="B911" s="7" t="s">
        <v>583</v>
      </c>
      <c r="C911" s="7" t="s">
        <v>119</v>
      </c>
      <c r="D911" s="7" t="s">
        <v>63</v>
      </c>
      <c r="F911" s="7" t="s">
        <v>64</v>
      </c>
      <c r="G911" s="7" t="s">
        <v>36</v>
      </c>
      <c r="J911" s="7" t="n">
        <v>20</v>
      </c>
      <c r="K911" s="7" t="n">
        <v>100</v>
      </c>
      <c r="L911" s="7" t="n">
        <v>40</v>
      </c>
      <c r="M911" s="7" t="n">
        <v>70</v>
      </c>
      <c r="N911" s="7" t="s">
        <v>66</v>
      </c>
      <c r="O911" s="8" t="s">
        <v>45</v>
      </c>
      <c r="P911" s="8" t="s">
        <v>46</v>
      </c>
      <c r="Q911" s="8" t="s">
        <v>47</v>
      </c>
      <c r="T911" s="7" t="str">
        <f aca="false">_xlfn.TEXTJOIN( , ,B911,C911)</f>
        <v>UPS_roomSpot Cam - PTZ - 27 spot-cam-ptz.jpg</v>
      </c>
    </row>
    <row r="912" s="7" customFormat="true" ht="15.75" hidden="false" customHeight="true" outlineLevel="0" collapsed="false">
      <c r="A912" s="7" t="s">
        <v>20</v>
      </c>
      <c r="B912" s="7" t="s">
        <v>583</v>
      </c>
      <c r="C912" s="7" t="s">
        <v>62</v>
      </c>
      <c r="D912" s="7" t="s">
        <v>41</v>
      </c>
      <c r="E912" s="7" t="s">
        <v>42</v>
      </c>
      <c r="F912" s="7" t="s">
        <v>43</v>
      </c>
      <c r="G912" s="7" t="s">
        <v>44</v>
      </c>
      <c r="O912" s="8" t="s">
        <v>45</v>
      </c>
      <c r="P912" s="8" t="s">
        <v>46</v>
      </c>
      <c r="Q912" s="8" t="s">
        <v>47</v>
      </c>
      <c r="S912" s="11" t="s">
        <v>48</v>
      </c>
      <c r="T912" s="7" t="str">
        <f aca="false">_xlfn.TEXTJOIN( , ,B912,C912)</f>
        <v>UPS_roomSpot Cam - PTZ - 3 spot-cam-ptz.jpg</v>
      </c>
    </row>
    <row r="913" s="7" customFormat="true" ht="15.75" hidden="false" customHeight="true" outlineLevel="0" collapsed="false">
      <c r="A913" s="7" t="s">
        <v>20</v>
      </c>
      <c r="B913" s="7" t="s">
        <v>583</v>
      </c>
      <c r="C913" s="7" t="s">
        <v>67</v>
      </c>
      <c r="D913" s="7" t="s">
        <v>41</v>
      </c>
      <c r="E913" s="7" t="s">
        <v>42</v>
      </c>
      <c r="F913" s="7" t="s">
        <v>43</v>
      </c>
      <c r="G913" s="7" t="s">
        <v>44</v>
      </c>
      <c r="O913" s="8" t="s">
        <v>45</v>
      </c>
      <c r="P913" s="8" t="s">
        <v>46</v>
      </c>
      <c r="Q913" s="8" t="s">
        <v>47</v>
      </c>
      <c r="S913" s="11" t="s">
        <v>48</v>
      </c>
      <c r="T913" s="7" t="str">
        <f aca="false">_xlfn.TEXTJOIN( , ,B913,C913)</f>
        <v>UPS_roomSpot Cam - PTZ - 4 spot-cam-ptz.jpg</v>
      </c>
    </row>
    <row r="914" s="7" customFormat="true" ht="15.75" hidden="false" customHeight="true" outlineLevel="0" collapsed="false">
      <c r="A914" s="7" t="s">
        <v>20</v>
      </c>
      <c r="B914" s="7" t="s">
        <v>583</v>
      </c>
      <c r="C914" s="7" t="s">
        <v>68</v>
      </c>
      <c r="D914" s="7" t="s">
        <v>41</v>
      </c>
      <c r="E914" s="7" t="s">
        <v>42</v>
      </c>
      <c r="F914" s="7" t="s">
        <v>43</v>
      </c>
      <c r="G914" s="7" t="s">
        <v>44</v>
      </c>
      <c r="O914" s="8" t="s">
        <v>45</v>
      </c>
      <c r="P914" s="8" t="s">
        <v>46</v>
      </c>
      <c r="Q914" s="8" t="s">
        <v>47</v>
      </c>
      <c r="S914" s="11" t="s">
        <v>48</v>
      </c>
      <c r="T914" s="7" t="str">
        <f aca="false">_xlfn.TEXTJOIN( , ,B914,C914)</f>
        <v>UPS_roomSpot Cam - PTZ - 5 spot-cam-ptz.jpg</v>
      </c>
    </row>
    <row r="915" s="7" customFormat="true" ht="15.75" hidden="true" customHeight="true" outlineLevel="0" collapsed="false">
      <c r="A915" s="7" t="s">
        <v>20</v>
      </c>
      <c r="B915" s="7" t="s">
        <v>583</v>
      </c>
      <c r="C915" s="7" t="s">
        <v>69</v>
      </c>
      <c r="D915" s="7" t="s">
        <v>23</v>
      </c>
      <c r="F915" s="7" t="s">
        <v>24</v>
      </c>
      <c r="G915" s="7" t="s">
        <v>25</v>
      </c>
      <c r="I915" s="8" t="s">
        <v>26</v>
      </c>
      <c r="J915" s="8" t="s">
        <v>53</v>
      </c>
      <c r="L915" s="10" t="s">
        <v>54</v>
      </c>
      <c r="T915" s="7" t="str">
        <f aca="false">_xlfn.TEXTJOIN( , ,B915,C915)</f>
        <v>UPS_roomSpot Cam - PTZ - 6 spot-cam-ptz.jpg</v>
      </c>
    </row>
    <row r="916" s="7" customFormat="true" ht="15.75" hidden="true" customHeight="true" outlineLevel="0" collapsed="false">
      <c r="A916" s="7" t="s">
        <v>20</v>
      </c>
      <c r="B916" s="7" t="s">
        <v>583</v>
      </c>
      <c r="C916" s="7" t="s">
        <v>69</v>
      </c>
      <c r="D916" s="7" t="s">
        <v>23</v>
      </c>
      <c r="F916" s="7" t="s">
        <v>24</v>
      </c>
      <c r="G916" s="7" t="s">
        <v>25</v>
      </c>
      <c r="O916" s="8" t="s">
        <v>26</v>
      </c>
      <c r="P916" s="8" t="s">
        <v>53</v>
      </c>
      <c r="R916" s="10" t="s">
        <v>54</v>
      </c>
      <c r="T916" s="7" t="str">
        <f aca="false">_xlfn.TEXTJOIN( , ,B916,C916)</f>
        <v>UPS_roomSpot Cam - PTZ - 6 spot-cam-ptz.jpg</v>
      </c>
    </row>
    <row r="917" s="7" customFormat="true" ht="15.75" hidden="true" customHeight="true" outlineLevel="0" collapsed="false">
      <c r="A917" s="7" t="s">
        <v>20</v>
      </c>
      <c r="B917" s="7" t="s">
        <v>583</v>
      </c>
      <c r="C917" s="7" t="s">
        <v>69</v>
      </c>
      <c r="D917" s="7" t="s">
        <v>23</v>
      </c>
      <c r="E917" s="7" t="s">
        <v>30</v>
      </c>
      <c r="F917" s="7" t="s">
        <v>31</v>
      </c>
      <c r="G917" s="7" t="s">
        <v>25</v>
      </c>
      <c r="O917" s="8" t="s">
        <v>26</v>
      </c>
      <c r="P917" s="8" t="s">
        <v>53</v>
      </c>
      <c r="T917" s="7" t="str">
        <f aca="false">_xlfn.TEXTJOIN( , ,B917,C917)</f>
        <v>UPS_roomSpot Cam - PTZ - 6 spot-cam-ptz.jpg</v>
      </c>
    </row>
    <row r="918" s="7" customFormat="true" ht="15.75" hidden="true" customHeight="true" outlineLevel="0" collapsed="false">
      <c r="A918" s="7" t="s">
        <v>20</v>
      </c>
      <c r="B918" s="7" t="s">
        <v>583</v>
      </c>
      <c r="C918" s="7" t="s">
        <v>70</v>
      </c>
      <c r="D918" s="7" t="s">
        <v>23</v>
      </c>
      <c r="E918" s="7" t="s">
        <v>34</v>
      </c>
      <c r="F918" s="7" t="s">
        <v>35</v>
      </c>
      <c r="G918" s="7" t="s">
        <v>36</v>
      </c>
      <c r="J918" s="7" t="n">
        <v>0</v>
      </c>
      <c r="K918" s="7" t="n">
        <v>10</v>
      </c>
      <c r="L918" s="7" t="n">
        <v>4</v>
      </c>
      <c r="M918" s="7" t="n">
        <v>9</v>
      </c>
      <c r="N918" s="10" t="s">
        <v>37</v>
      </c>
      <c r="O918" s="8" t="s">
        <v>26</v>
      </c>
      <c r="P918" s="8" t="s">
        <v>32</v>
      </c>
      <c r="R918" s="10" t="s">
        <v>38</v>
      </c>
      <c r="T918" s="7" t="str">
        <f aca="false">_xlfn.TEXTJOIN( , ,B918,C918)</f>
        <v>UPS_roomSpot Cam - PTZ - 7 spot-cam-ptz.jpg</v>
      </c>
    </row>
    <row r="919" s="7" customFormat="true" ht="15.75" hidden="true" customHeight="true" outlineLevel="0" collapsed="false">
      <c r="A919" s="7" t="s">
        <v>20</v>
      </c>
      <c r="B919" s="7" t="s">
        <v>583</v>
      </c>
      <c r="C919" s="7" t="s">
        <v>70</v>
      </c>
      <c r="D919" s="7" t="s">
        <v>23</v>
      </c>
      <c r="E919" s="7" t="s">
        <v>39</v>
      </c>
      <c r="F919" s="7" t="s">
        <v>35</v>
      </c>
      <c r="G919" s="7" t="s">
        <v>36</v>
      </c>
      <c r="J919" s="7" t="n">
        <v>0</v>
      </c>
      <c r="K919" s="7" t="n">
        <v>10</v>
      </c>
      <c r="L919" s="7" t="n">
        <v>4</v>
      </c>
      <c r="M919" s="7" t="n">
        <v>9</v>
      </c>
      <c r="N919" s="10" t="s">
        <v>37</v>
      </c>
      <c r="O919" s="8" t="s">
        <v>26</v>
      </c>
      <c r="P919" s="8" t="s">
        <v>32</v>
      </c>
      <c r="R919" s="10" t="s">
        <v>38</v>
      </c>
      <c r="T919" s="7" t="str">
        <f aca="false">_xlfn.TEXTJOIN( , ,B919,C919)</f>
        <v>UPS_roomSpot Cam - PTZ - 7 spot-cam-ptz.jpg</v>
      </c>
    </row>
    <row r="920" s="7" customFormat="true" ht="15.75" hidden="true" customHeight="true" outlineLevel="0" collapsed="false">
      <c r="A920" s="7" t="s">
        <v>20</v>
      </c>
      <c r="B920" s="7" t="s">
        <v>583</v>
      </c>
      <c r="C920" s="7" t="s">
        <v>70</v>
      </c>
      <c r="D920" s="7" t="s">
        <v>292</v>
      </c>
      <c r="F920" s="10" t="s">
        <v>293</v>
      </c>
      <c r="G920" s="7" t="s">
        <v>294</v>
      </c>
      <c r="O920" s="7" t="s">
        <v>295</v>
      </c>
      <c r="P920" s="8" t="s">
        <v>296</v>
      </c>
      <c r="Q920" s="8" t="s">
        <v>297</v>
      </c>
      <c r="T920" s="7" t="str">
        <f aca="false">_xlfn.TEXTJOIN( , ,B920,C920)</f>
        <v>UPS_roomSpot Cam - PTZ - 7 spot-cam-ptz.jpg</v>
      </c>
    </row>
    <row r="921" s="7" customFormat="true" ht="15.75" hidden="true" customHeight="true" outlineLevel="0" collapsed="false">
      <c r="A921" s="7" t="s">
        <v>20</v>
      </c>
      <c r="B921" s="7" t="s">
        <v>583</v>
      </c>
      <c r="C921" s="7" t="s">
        <v>71</v>
      </c>
      <c r="D921" s="7" t="s">
        <v>584</v>
      </c>
      <c r="E921" s="10" t="s">
        <v>224</v>
      </c>
      <c r="F921" s="7" t="s">
        <v>94</v>
      </c>
      <c r="G921" s="7" t="s">
        <v>78</v>
      </c>
      <c r="O921" s="8" t="s">
        <v>325</v>
      </c>
      <c r="P921" s="8" t="s">
        <v>585</v>
      </c>
      <c r="T921" s="7" t="str">
        <f aca="false">_xlfn.TEXTJOIN( , ,B921,C921)</f>
        <v>UPS_roomSpot Cam - PTZ - 8 spot-cam-ptz.jpg</v>
      </c>
    </row>
    <row r="922" s="7" customFormat="true" ht="15.75" hidden="true" customHeight="true" outlineLevel="0" collapsed="false">
      <c r="A922" s="7" t="s">
        <v>20</v>
      </c>
      <c r="B922" s="7" t="s">
        <v>583</v>
      </c>
      <c r="C922" s="7" t="s">
        <v>71</v>
      </c>
      <c r="D922" s="7" t="s">
        <v>602</v>
      </c>
      <c r="E922" s="10" t="s">
        <v>224</v>
      </c>
      <c r="F922" s="7" t="s">
        <v>94</v>
      </c>
      <c r="G922" s="7" t="s">
        <v>78</v>
      </c>
      <c r="O922" s="8" t="s">
        <v>325</v>
      </c>
      <c r="P922" s="8" t="s">
        <v>585</v>
      </c>
      <c r="T922" s="7" t="str">
        <f aca="false">_xlfn.TEXTJOIN( , ,B922,C922)</f>
        <v>UPS_roomSpot Cam - PTZ - 8 spot-cam-ptz.jpg</v>
      </c>
    </row>
    <row r="923" s="7" customFormat="true" ht="15.75" hidden="true" customHeight="true" outlineLevel="0" collapsed="false">
      <c r="A923" s="7" t="s">
        <v>20</v>
      </c>
      <c r="B923" s="7" t="s">
        <v>583</v>
      </c>
      <c r="C923" s="7" t="s">
        <v>71</v>
      </c>
      <c r="D923" s="7" t="s">
        <v>584</v>
      </c>
      <c r="E923" s="10" t="s">
        <v>83</v>
      </c>
      <c r="F923" s="7" t="s">
        <v>181</v>
      </c>
      <c r="G923" s="7" t="s">
        <v>78</v>
      </c>
      <c r="O923" s="8" t="s">
        <v>325</v>
      </c>
      <c r="P923" s="8" t="s">
        <v>585</v>
      </c>
      <c r="T923" s="7" t="str">
        <f aca="false">_xlfn.TEXTJOIN( , ,B923,C923)</f>
        <v>UPS_roomSpot Cam - PTZ - 8 spot-cam-ptz.jpg</v>
      </c>
    </row>
    <row r="924" s="7" customFormat="true" ht="15.75" hidden="true" customHeight="true" outlineLevel="0" collapsed="false">
      <c r="A924" s="7" t="s">
        <v>20</v>
      </c>
      <c r="B924" s="7" t="s">
        <v>583</v>
      </c>
      <c r="C924" s="7" t="s">
        <v>71</v>
      </c>
      <c r="D924" s="7" t="s">
        <v>584</v>
      </c>
      <c r="E924" s="10" t="s">
        <v>85</v>
      </c>
      <c r="F924" s="7" t="s">
        <v>181</v>
      </c>
      <c r="G924" s="7" t="s">
        <v>78</v>
      </c>
      <c r="O924" s="8" t="s">
        <v>325</v>
      </c>
      <c r="P924" s="8" t="s">
        <v>585</v>
      </c>
      <c r="T924" s="7" t="str">
        <f aca="false">_xlfn.TEXTJOIN( , ,B924,C924)</f>
        <v>UPS_roomSpot Cam - PTZ - 8 spot-cam-ptz.jpg</v>
      </c>
    </row>
    <row r="925" s="7" customFormat="true" ht="15.75" hidden="true" customHeight="true" outlineLevel="0" collapsed="false">
      <c r="A925" s="7" t="s">
        <v>20</v>
      </c>
      <c r="B925" s="7" t="s">
        <v>583</v>
      </c>
      <c r="C925" s="7" t="s">
        <v>71</v>
      </c>
      <c r="D925" s="7" t="s">
        <v>602</v>
      </c>
      <c r="E925" s="10" t="s">
        <v>83</v>
      </c>
      <c r="F925" s="7" t="s">
        <v>181</v>
      </c>
      <c r="G925" s="7" t="s">
        <v>78</v>
      </c>
      <c r="O925" s="8" t="s">
        <v>325</v>
      </c>
      <c r="P925" s="8" t="s">
        <v>585</v>
      </c>
      <c r="T925" s="7" t="str">
        <f aca="false">_xlfn.TEXTJOIN( , ,B925,C925)</f>
        <v>UPS_roomSpot Cam - PTZ - 8 spot-cam-ptz.jpg</v>
      </c>
    </row>
    <row r="926" s="7" customFormat="true" ht="15.75" hidden="true" customHeight="true" outlineLevel="0" collapsed="false">
      <c r="A926" s="7" t="s">
        <v>20</v>
      </c>
      <c r="B926" s="7" t="s">
        <v>583</v>
      </c>
      <c r="C926" s="7" t="s">
        <v>71</v>
      </c>
      <c r="D926" s="7" t="s">
        <v>602</v>
      </c>
      <c r="E926" s="10" t="s">
        <v>85</v>
      </c>
      <c r="F926" s="7" t="s">
        <v>181</v>
      </c>
      <c r="G926" s="7" t="s">
        <v>78</v>
      </c>
      <c r="O926" s="8" t="s">
        <v>325</v>
      </c>
      <c r="P926" s="8" t="s">
        <v>585</v>
      </c>
      <c r="T926" s="7" t="str">
        <f aca="false">_xlfn.TEXTJOIN( , ,B926,C926)</f>
        <v>UPS_roomSpot Cam - PTZ - 8 spot-cam-ptz.jpg</v>
      </c>
    </row>
    <row r="927" s="7" customFormat="true" ht="15.75" hidden="true" customHeight="true" outlineLevel="0" collapsed="false">
      <c r="A927" s="7" t="s">
        <v>20</v>
      </c>
      <c r="B927" s="7" t="s">
        <v>583</v>
      </c>
      <c r="C927" s="7" t="s">
        <v>71</v>
      </c>
      <c r="D927" s="7" t="s">
        <v>584</v>
      </c>
      <c r="E927" s="10" t="s">
        <v>226</v>
      </c>
      <c r="F927" s="7" t="s">
        <v>95</v>
      </c>
      <c r="G927" s="7" t="s">
        <v>78</v>
      </c>
      <c r="O927" s="8" t="s">
        <v>325</v>
      </c>
      <c r="P927" s="8" t="s">
        <v>585</v>
      </c>
      <c r="T927" s="7" t="str">
        <f aca="false">_xlfn.TEXTJOIN( , ,B927,C927)</f>
        <v>UPS_roomSpot Cam - PTZ - 8 spot-cam-ptz.jpg</v>
      </c>
    </row>
    <row r="928" s="7" customFormat="true" ht="15.75" hidden="true" customHeight="true" outlineLevel="0" collapsed="false">
      <c r="A928" s="7" t="s">
        <v>20</v>
      </c>
      <c r="B928" s="7" t="s">
        <v>583</v>
      </c>
      <c r="C928" s="7" t="s">
        <v>71</v>
      </c>
      <c r="D928" s="7" t="s">
        <v>602</v>
      </c>
      <c r="E928" s="10" t="s">
        <v>226</v>
      </c>
      <c r="F928" s="7" t="s">
        <v>95</v>
      </c>
      <c r="G928" s="7" t="s">
        <v>78</v>
      </c>
      <c r="O928" s="8" t="s">
        <v>325</v>
      </c>
      <c r="P928" s="8" t="s">
        <v>585</v>
      </c>
      <c r="T928" s="7" t="str">
        <f aca="false">_xlfn.TEXTJOIN( , ,B928,C928)</f>
        <v>UPS_roomSpot Cam - PTZ - 8 spot-cam-ptz.jpg</v>
      </c>
    </row>
    <row r="929" s="7" customFormat="true" ht="15.75" hidden="true" customHeight="true" outlineLevel="0" collapsed="false">
      <c r="A929" s="7" t="s">
        <v>20</v>
      </c>
      <c r="B929" s="7" t="s">
        <v>583</v>
      </c>
      <c r="C929" s="7" t="s">
        <v>71</v>
      </c>
      <c r="D929" s="7" t="s">
        <v>584</v>
      </c>
      <c r="E929" s="10" t="s">
        <v>276</v>
      </c>
      <c r="F929" s="7" t="s">
        <v>101</v>
      </c>
      <c r="G929" s="7" t="s">
        <v>102</v>
      </c>
      <c r="O929" s="8" t="s">
        <v>325</v>
      </c>
      <c r="P929" s="8" t="s">
        <v>585</v>
      </c>
      <c r="T929" s="7" t="str">
        <f aca="false">_xlfn.TEXTJOIN( , ,B929,C929)</f>
        <v>UPS_roomSpot Cam - PTZ - 8 spot-cam-ptz.jpg</v>
      </c>
    </row>
    <row r="930" s="7" customFormat="true" ht="15.75" hidden="true" customHeight="true" outlineLevel="0" collapsed="false">
      <c r="A930" s="7" t="s">
        <v>20</v>
      </c>
      <c r="B930" s="7" t="s">
        <v>583</v>
      </c>
      <c r="C930" s="7" t="s">
        <v>71</v>
      </c>
      <c r="D930" s="7" t="s">
        <v>602</v>
      </c>
      <c r="E930" s="10" t="s">
        <v>276</v>
      </c>
      <c r="F930" s="7" t="s">
        <v>101</v>
      </c>
      <c r="G930" s="7" t="s">
        <v>102</v>
      </c>
      <c r="O930" s="8" t="s">
        <v>325</v>
      </c>
      <c r="P930" s="8" t="s">
        <v>585</v>
      </c>
      <c r="T930" s="7" t="str">
        <f aca="false">_xlfn.TEXTJOIN( , ,B930,C930)</f>
        <v>UPS_roomSpot Cam - PTZ - 8 spot-cam-ptz.jpg</v>
      </c>
    </row>
    <row r="931" s="7" customFormat="true" ht="15.75" hidden="false" customHeight="true" outlineLevel="0" collapsed="false">
      <c r="A931" s="7" t="s">
        <v>20</v>
      </c>
      <c r="B931" s="7" t="s">
        <v>583</v>
      </c>
      <c r="C931" s="7" t="s">
        <v>73</v>
      </c>
      <c r="D931" s="7" t="s">
        <v>602</v>
      </c>
      <c r="E931" s="7" t="s">
        <v>457</v>
      </c>
      <c r="F931" s="7" t="s">
        <v>402</v>
      </c>
      <c r="G931" s="7" t="s">
        <v>44</v>
      </c>
      <c r="O931" s="8" t="s">
        <v>325</v>
      </c>
      <c r="P931" s="8" t="s">
        <v>585</v>
      </c>
      <c r="S931" s="11" t="s">
        <v>403</v>
      </c>
      <c r="T931" s="7" t="str">
        <f aca="false">_xlfn.TEXTJOIN( , ,B931,C931)</f>
        <v>UPS_roomSpot Cam - PTZ - 9 spot-cam-ptz.jpg</v>
      </c>
    </row>
    <row r="932" customFormat="false" ht="15.75" hidden="false" customHeight="true" outlineLevel="0" collapsed="false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9"/>
      <c r="P932" s="18"/>
      <c r="Q932" s="18"/>
      <c r="R932" s="18"/>
      <c r="S932" s="18"/>
      <c r="T932" s="6"/>
      <c r="U932" s="6"/>
      <c r="V932" s="6"/>
      <c r="W932" s="6"/>
      <c r="X932" s="6"/>
      <c r="Y932" s="6"/>
      <c r="Z932" s="6"/>
      <c r="AA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8"/>
      <c r="M933" s="18"/>
      <c r="N933" s="18"/>
      <c r="O933" s="20"/>
      <c r="P933" s="18"/>
      <c r="Q933" s="18"/>
      <c r="R933" s="18"/>
      <c r="S933" s="18"/>
      <c r="T933" s="6"/>
      <c r="U933" s="6"/>
      <c r="V933" s="6"/>
      <c r="W933" s="6"/>
      <c r="X933" s="6"/>
      <c r="Y933" s="6"/>
      <c r="Z933" s="6"/>
      <c r="AA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8"/>
      <c r="M934" s="18"/>
      <c r="N934" s="18"/>
      <c r="O934" s="20"/>
      <c r="P934" s="18"/>
      <c r="Q934" s="18"/>
      <c r="R934" s="18"/>
      <c r="S934" s="18"/>
      <c r="T934" s="6"/>
      <c r="U934" s="6"/>
      <c r="V934" s="6"/>
      <c r="W934" s="6"/>
      <c r="X934" s="6"/>
      <c r="Y934" s="6"/>
      <c r="Z934" s="6"/>
      <c r="AA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8"/>
      <c r="M935" s="18"/>
      <c r="N935" s="18"/>
      <c r="O935" s="20"/>
      <c r="P935" s="18"/>
      <c r="Q935" s="18"/>
      <c r="R935" s="18"/>
      <c r="S935" s="18"/>
      <c r="T935" s="6"/>
      <c r="U935" s="6"/>
      <c r="V935" s="6"/>
      <c r="W935" s="6"/>
      <c r="X935" s="6"/>
      <c r="Y935" s="6"/>
      <c r="Z935" s="6"/>
      <c r="AA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8"/>
      <c r="M936" s="18"/>
      <c r="N936" s="18"/>
      <c r="O936" s="20"/>
      <c r="P936" s="18"/>
      <c r="Q936" s="18"/>
      <c r="R936" s="18"/>
      <c r="S936" s="18"/>
      <c r="T936" s="6"/>
      <c r="U936" s="6"/>
      <c r="V936" s="6"/>
      <c r="W936" s="6"/>
      <c r="X936" s="6"/>
      <c r="Y936" s="6"/>
      <c r="Z936" s="6"/>
      <c r="AA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8"/>
      <c r="M937" s="18"/>
      <c r="N937" s="18"/>
      <c r="O937" s="20"/>
      <c r="P937" s="18"/>
      <c r="Q937" s="18"/>
      <c r="R937" s="18"/>
      <c r="S937" s="18"/>
      <c r="T937" s="6"/>
      <c r="U937" s="6"/>
      <c r="V937" s="6"/>
      <c r="W937" s="6"/>
      <c r="X937" s="6"/>
      <c r="Y937" s="6"/>
      <c r="Z937" s="6"/>
      <c r="AA937" s="6"/>
    </row>
    <row r="938" customFormat="false" ht="15" hidden="false" customHeight="true" outlineLevel="0" collapsed="false">
      <c r="L938" s="7"/>
      <c r="M938" s="7"/>
      <c r="N938" s="7"/>
      <c r="O938" s="21"/>
      <c r="P938" s="7"/>
      <c r="Q938" s="7"/>
      <c r="R938" s="7"/>
      <c r="S938" s="7"/>
    </row>
    <row r="939" customFormat="false" ht="15" hidden="false" customHeight="true" outlineLevel="0" collapsed="false">
      <c r="L939" s="7"/>
      <c r="M939" s="7"/>
      <c r="N939" s="7"/>
      <c r="O939" s="21"/>
      <c r="P939" s="7"/>
      <c r="Q939" s="7"/>
      <c r="R939" s="7"/>
      <c r="S939" s="7"/>
    </row>
    <row r="944" customFormat="false" ht="15" hidden="false" customHeight="true" outlineLevel="0" collapsed="false">
      <c r="E944" s="22"/>
    </row>
  </sheetData>
  <autoFilter ref="A1:Y931">
    <filterColumn colId="5">
      <filters>
        <filter val="DG_Air-Conditioner"/>
        <filter val="DG_BMS"/>
        <filter val="DG_Boost-pump"/>
        <filter val="DG_Digital-Integrated-Meter"/>
        <filter val="DG_Digital-Meter"/>
        <filter val="DG_Electric-Water-Heater"/>
        <filter val="DG_GIMAC-DC"/>
        <filter val="DG_Gen-Status"/>
        <filter val="DG_PB-max"/>
        <filter val="DG_Pump"/>
        <filter val="DG_TR-temp"/>
        <filter val="DG_Thermo-hygro"/>
        <filter val="DG_UPS-100KVA"/>
        <filter val="DG_UPS-600KVA"/>
      </filters>
    </filterColumn>
    <sortState ref="A2:Y931">
      <sortCondition ref="A2:A931" customList=""/>
    </sortState>
  </autoFilter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F67" activeCellId="0" sqref="F6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8.45"/>
  </cols>
  <sheetData>
    <row r="1" customFormat="false" ht="12.8" hidden="false" customHeight="false" outlineLevel="0" collapsed="false">
      <c r="A1" s="0" t="s">
        <v>603</v>
      </c>
      <c r="B1" s="0" t="s">
        <v>604</v>
      </c>
    </row>
    <row r="2" customFormat="false" ht="12.8" hidden="false" customHeight="false" outlineLevel="0" collapsed="false">
      <c r="A2" s="0" t="s">
        <v>605</v>
      </c>
    </row>
    <row r="3" customFormat="false" ht="12.8" hidden="false" customHeight="false" outlineLevel="0" collapsed="false">
      <c r="A3" s="0" t="s">
        <v>606</v>
      </c>
    </row>
    <row r="4" customFormat="false" ht="12.8" hidden="false" customHeight="false" outlineLevel="0" collapsed="false">
      <c r="A4" s="0" t="s">
        <v>64</v>
      </c>
    </row>
    <row r="5" customFormat="false" ht="12.8" hidden="false" customHeight="false" outlineLevel="0" collapsed="false">
      <c r="A5" s="0" t="s">
        <v>542</v>
      </c>
    </row>
    <row r="6" customFormat="false" ht="12.8" hidden="false" customHeight="false" outlineLevel="0" collapsed="false">
      <c r="A6" s="0" t="s">
        <v>414</v>
      </c>
    </row>
    <row r="7" customFormat="false" ht="12.8" hidden="false" customHeight="false" outlineLevel="0" collapsed="false">
      <c r="A7" s="0" t="s">
        <v>429</v>
      </c>
    </row>
    <row r="8" customFormat="false" ht="12.8" hidden="false" customHeight="false" outlineLevel="0" collapsed="false">
      <c r="A8" s="0" t="s">
        <v>450</v>
      </c>
    </row>
    <row r="9" customFormat="false" ht="12.8" hidden="false" customHeight="false" outlineLevel="0" collapsed="false">
      <c r="A9" s="0" t="s">
        <v>473</v>
      </c>
    </row>
    <row r="10" customFormat="false" ht="12.8" hidden="false" customHeight="false" outlineLevel="0" collapsed="false">
      <c r="A10" s="0" t="s">
        <v>483</v>
      </c>
    </row>
    <row r="11" customFormat="false" ht="12.8" hidden="false" customHeight="false" outlineLevel="0" collapsed="false">
      <c r="A11" s="0" t="s">
        <v>466</v>
      </c>
    </row>
    <row r="12" customFormat="false" ht="12.8" hidden="false" customHeight="false" outlineLevel="0" collapsed="false">
      <c r="A12" s="0" t="s">
        <v>421</v>
      </c>
    </row>
    <row r="13" customFormat="false" ht="12.8" hidden="false" customHeight="false" outlineLevel="0" collapsed="false">
      <c r="A13" s="0" t="s">
        <v>391</v>
      </c>
    </row>
    <row r="14" customFormat="false" ht="12.8" hidden="false" customHeight="false" outlineLevel="0" collapsed="false">
      <c r="A14" s="0" t="s">
        <v>353</v>
      </c>
    </row>
    <row r="15" customFormat="false" ht="12.8" hidden="false" customHeight="false" outlineLevel="0" collapsed="false">
      <c r="A15" s="0" t="s">
        <v>357</v>
      </c>
    </row>
    <row r="16" customFormat="false" ht="12.8" hidden="false" customHeight="false" outlineLevel="0" collapsed="false">
      <c r="A16" s="0" t="s">
        <v>124</v>
      </c>
    </row>
    <row r="17" customFormat="false" ht="12.8" hidden="false" customHeight="false" outlineLevel="0" collapsed="false">
      <c r="A17" s="0" t="s">
        <v>285</v>
      </c>
    </row>
    <row r="18" customFormat="false" ht="12.8" hidden="false" customHeight="false" outlineLevel="0" collapsed="false">
      <c r="A18" s="0" t="s">
        <v>43</v>
      </c>
    </row>
    <row r="19" customFormat="false" ht="12.8" hidden="false" customHeight="false" outlineLevel="0" collapsed="false">
      <c r="A19" s="0" t="s">
        <v>402</v>
      </c>
    </row>
    <row r="20" customFormat="false" ht="12.8" hidden="false" customHeight="false" outlineLevel="0" collapsed="false">
      <c r="A20" s="0" t="s">
        <v>343</v>
      </c>
    </row>
    <row r="21" customFormat="false" ht="12.8" hidden="false" customHeight="false" outlineLevel="0" collapsed="false">
      <c r="A21" s="0" t="s">
        <v>511</v>
      </c>
    </row>
    <row r="22" customFormat="false" ht="12.8" hidden="false" customHeight="false" outlineLevel="0" collapsed="false">
      <c r="A22" s="0" t="s">
        <v>407</v>
      </c>
    </row>
    <row r="23" customFormat="false" ht="12.8" hidden="false" customHeight="false" outlineLevel="0" collapsed="false">
      <c r="A23" s="0" t="s">
        <v>485</v>
      </c>
    </row>
    <row r="24" customFormat="false" ht="12.8" hidden="false" customHeight="false" outlineLevel="0" collapsed="false">
      <c r="A24" s="0" t="s">
        <v>152</v>
      </c>
    </row>
    <row r="25" customFormat="false" ht="12.8" hidden="false" customHeight="false" outlineLevel="0" collapsed="false">
      <c r="A25" s="0" t="s">
        <v>143</v>
      </c>
    </row>
    <row r="26" customFormat="false" ht="12.8" hidden="false" customHeight="false" outlineLevel="0" collapsed="false">
      <c r="A26" s="0" t="s">
        <v>327</v>
      </c>
    </row>
    <row r="27" customFormat="false" ht="12.8" hidden="false" customHeight="false" outlineLevel="0" collapsed="false">
      <c r="A27" s="0" t="s">
        <v>588</v>
      </c>
    </row>
    <row r="28" customFormat="false" ht="12.8" hidden="false" customHeight="false" outlineLevel="0" collapsed="false">
      <c r="A28" s="0" t="s">
        <v>327</v>
      </c>
    </row>
    <row r="29" customFormat="false" ht="12.8" hidden="false" customHeight="false" outlineLevel="0" collapsed="false">
      <c r="A29" s="0" t="s">
        <v>305</v>
      </c>
    </row>
    <row r="30" customFormat="false" ht="12.8" hidden="false" customHeight="false" outlineLevel="0" collapsed="false">
      <c r="A30" s="0" t="s">
        <v>607</v>
      </c>
    </row>
    <row r="31" customFormat="false" ht="12.8" hidden="false" customHeight="false" outlineLevel="0" collapsed="false">
      <c r="A31" s="0" t="s">
        <v>59</v>
      </c>
    </row>
    <row r="32" customFormat="false" ht="12.8" hidden="false" customHeight="false" outlineLevel="0" collapsed="false">
      <c r="A32" s="0" t="s">
        <v>220</v>
      </c>
    </row>
    <row r="33" customFormat="false" ht="12.8" hidden="false" customHeight="false" outlineLevel="0" collapsed="false">
      <c r="A33" s="0" t="s">
        <v>77</v>
      </c>
    </row>
    <row r="34" customFormat="false" ht="12.8" hidden="false" customHeight="false" outlineLevel="0" collapsed="false">
      <c r="A34" s="0" t="s">
        <v>77</v>
      </c>
    </row>
    <row r="35" customFormat="false" ht="12.8" hidden="false" customHeight="false" outlineLevel="0" collapsed="false">
      <c r="A35" s="0" t="s">
        <v>608</v>
      </c>
    </row>
    <row r="36" customFormat="false" ht="12.8" hidden="false" customHeight="false" outlineLevel="0" collapsed="false">
      <c r="A36" s="0" t="s">
        <v>94</v>
      </c>
    </row>
    <row r="37" customFormat="false" ht="12.8" hidden="false" customHeight="false" outlineLevel="0" collapsed="false">
      <c r="A37" s="0" t="s">
        <v>94</v>
      </c>
    </row>
    <row r="38" customFormat="false" ht="12.8" hidden="false" customHeight="false" outlineLevel="0" collapsed="false">
      <c r="A38" s="0" t="s">
        <v>609</v>
      </c>
    </row>
    <row r="39" customFormat="false" ht="12.8" hidden="false" customHeight="false" outlineLevel="0" collapsed="false">
      <c r="A39" s="0" t="s">
        <v>95</v>
      </c>
    </row>
    <row r="40" customFormat="false" ht="12.8" hidden="false" customHeight="false" outlineLevel="0" collapsed="false">
      <c r="A40" s="0" t="s">
        <v>95</v>
      </c>
    </row>
    <row r="41" customFormat="false" ht="12.8" hidden="false" customHeight="false" outlineLevel="0" collapsed="false">
      <c r="A41" s="0" t="s">
        <v>610</v>
      </c>
    </row>
    <row r="42" customFormat="false" ht="12.8" hidden="false" customHeight="false" outlineLevel="0" collapsed="false">
      <c r="A42" s="0" t="s">
        <v>610</v>
      </c>
    </row>
    <row r="43" customFormat="false" ht="12.8" hidden="false" customHeight="false" outlineLevel="0" collapsed="false">
      <c r="A43" s="0" t="s">
        <v>88</v>
      </c>
    </row>
    <row r="44" customFormat="false" ht="12.8" hidden="false" customHeight="false" outlineLevel="0" collapsed="false">
      <c r="A44" s="0" t="s">
        <v>303</v>
      </c>
    </row>
    <row r="45" customFormat="false" ht="12.8" hidden="false" customHeight="false" outlineLevel="0" collapsed="false">
      <c r="A45" s="0" t="s">
        <v>373</v>
      </c>
    </row>
    <row r="46" customFormat="false" ht="12.8" hidden="false" customHeight="false" outlineLevel="0" collapsed="false">
      <c r="A46" s="0" t="s">
        <v>611</v>
      </c>
    </row>
    <row r="47" customFormat="false" ht="12.8" hidden="false" customHeight="false" outlineLevel="0" collapsed="false">
      <c r="A47" s="0" t="s">
        <v>181</v>
      </c>
    </row>
    <row r="48" customFormat="false" ht="12.8" hidden="false" customHeight="false" outlineLevel="0" collapsed="false">
      <c r="A48" s="0" t="s">
        <v>612</v>
      </c>
    </row>
    <row r="49" customFormat="false" ht="12.8" hidden="false" customHeight="false" outlineLevel="0" collapsed="false">
      <c r="A49" s="0" t="s">
        <v>182</v>
      </c>
    </row>
    <row r="50" customFormat="false" ht="12.8" hidden="false" customHeight="false" outlineLevel="0" collapsed="false">
      <c r="A50" s="0" t="s">
        <v>613</v>
      </c>
    </row>
    <row r="51" customFormat="false" ht="12.8" hidden="false" customHeight="false" outlineLevel="0" collapsed="false">
      <c r="A51" s="0" t="s">
        <v>84</v>
      </c>
    </row>
    <row r="52" customFormat="false" ht="12.8" hidden="false" customHeight="false" outlineLevel="0" collapsed="false">
      <c r="A52" s="0" t="s">
        <v>614</v>
      </c>
    </row>
    <row r="53" customFormat="false" ht="12.8" hidden="false" customHeight="false" outlineLevel="0" collapsed="false">
      <c r="A53" s="0" t="s">
        <v>84</v>
      </c>
    </row>
    <row r="54" customFormat="false" ht="12.8" hidden="false" customHeight="false" outlineLevel="0" collapsed="false">
      <c r="A54" s="0" t="s">
        <v>614</v>
      </c>
    </row>
    <row r="55" customFormat="false" ht="12.8" hidden="false" customHeight="false" outlineLevel="0" collapsed="false">
      <c r="A55" s="0" t="s">
        <v>93</v>
      </c>
    </row>
    <row r="56" customFormat="false" ht="12.8" hidden="false" customHeight="false" outlineLevel="0" collapsed="false">
      <c r="A56" s="0" t="s">
        <v>615</v>
      </c>
    </row>
    <row r="57" customFormat="false" ht="12.8" hidden="false" customHeight="false" outlineLevel="0" collapsed="false">
      <c r="A57" s="0" t="s">
        <v>106</v>
      </c>
    </row>
    <row r="58" customFormat="false" ht="12.8" hidden="false" customHeight="false" outlineLevel="0" collapsed="false">
      <c r="A58" s="0" t="s">
        <v>616</v>
      </c>
    </row>
    <row r="59" customFormat="false" ht="12.8" hidden="false" customHeight="false" outlineLevel="0" collapsed="false">
      <c r="A59" s="0" t="s">
        <v>197</v>
      </c>
    </row>
    <row r="60" customFormat="false" ht="12.8" hidden="false" customHeight="false" outlineLevel="0" collapsed="false">
      <c r="A60" s="0" t="s">
        <v>617</v>
      </c>
    </row>
    <row r="61" customFormat="false" ht="12.8" hidden="false" customHeight="false" outlineLevel="0" collapsed="false">
      <c r="A61" s="0" t="s">
        <v>618</v>
      </c>
    </row>
    <row r="62" customFormat="false" ht="12.8" hidden="false" customHeight="false" outlineLevel="0" collapsed="false">
      <c r="A62" s="0" t="s">
        <v>619</v>
      </c>
    </row>
    <row r="63" customFormat="false" ht="12.8" hidden="false" customHeight="false" outlineLevel="0" collapsed="false">
      <c r="A63" s="0" t="s">
        <v>90</v>
      </c>
    </row>
    <row r="64" customFormat="false" ht="12.8" hidden="false" customHeight="false" outlineLevel="0" collapsed="false">
      <c r="A64" s="0" t="s">
        <v>396</v>
      </c>
    </row>
    <row r="65" customFormat="false" ht="12.8" hidden="false" customHeight="false" outlineLevel="0" collapsed="false">
      <c r="A65" s="0" t="s">
        <v>137</v>
      </c>
    </row>
    <row r="66" customFormat="false" ht="12.8" hidden="false" customHeight="false" outlineLevel="0" collapsed="false">
      <c r="A66" s="0" t="s">
        <v>90</v>
      </c>
    </row>
    <row r="67" customFormat="false" ht="12.8" hidden="false" customHeight="false" outlineLevel="0" collapsed="false">
      <c r="A67" s="0" t="s">
        <v>396</v>
      </c>
    </row>
    <row r="68" customFormat="false" ht="12.8" hidden="false" customHeight="false" outlineLevel="0" collapsed="false">
      <c r="A68" s="0" t="s">
        <v>137</v>
      </c>
    </row>
    <row r="69" customFormat="false" ht="12.8" hidden="false" customHeight="false" outlineLevel="0" collapsed="false">
      <c r="A69" s="0" t="s">
        <v>101</v>
      </c>
    </row>
    <row r="70" customFormat="false" ht="12.8" hidden="false" customHeight="false" outlineLevel="0" collapsed="false">
      <c r="A70" s="0" t="s">
        <v>399</v>
      </c>
    </row>
    <row r="71" customFormat="false" ht="12.8" hidden="false" customHeight="false" outlineLevel="0" collapsed="false">
      <c r="A71" s="0" t="s">
        <v>161</v>
      </c>
    </row>
    <row r="72" customFormat="false" ht="12.8" hidden="false" customHeight="false" outlineLevel="0" collapsed="false">
      <c r="A72" s="0" t="s">
        <v>101</v>
      </c>
    </row>
    <row r="73" customFormat="false" ht="12.8" hidden="false" customHeight="false" outlineLevel="0" collapsed="false">
      <c r="A73" s="0" t="s">
        <v>161</v>
      </c>
    </row>
    <row r="74" customFormat="false" ht="12.8" hidden="false" customHeight="false" outlineLevel="0" collapsed="false">
      <c r="A74" s="0" t="s">
        <v>620</v>
      </c>
    </row>
    <row r="75" customFormat="false" ht="12.8" hidden="false" customHeight="false" outlineLevel="0" collapsed="false">
      <c r="A75" s="0" t="s">
        <v>621</v>
      </c>
    </row>
    <row r="76" customFormat="false" ht="12.8" hidden="false" customHeight="false" outlineLevel="0" collapsed="false">
      <c r="A76" s="0" t="s">
        <v>540</v>
      </c>
    </row>
    <row r="77" customFormat="false" ht="12.8" hidden="false" customHeight="false" outlineLevel="0" collapsed="false">
      <c r="A77" s="0" t="s">
        <v>532</v>
      </c>
    </row>
    <row r="78" customFormat="false" ht="12.8" hidden="false" customHeight="false" outlineLevel="0" collapsed="false">
      <c r="A78" s="0" t="s">
        <v>104</v>
      </c>
    </row>
    <row r="79" customFormat="false" ht="12.8" hidden="false" customHeight="false" outlineLevel="0" collapsed="false">
      <c r="A79" s="0" t="s">
        <v>622</v>
      </c>
    </row>
    <row r="80" customFormat="false" ht="12.8" hidden="false" customHeight="false" outlineLevel="0" collapsed="false">
      <c r="A80" s="0" t="s">
        <v>623</v>
      </c>
    </row>
    <row r="81" customFormat="false" ht="12.8" hidden="false" customHeight="false" outlineLevel="0" collapsed="false">
      <c r="A81" s="0" t="s">
        <v>104</v>
      </c>
    </row>
    <row r="82" customFormat="false" ht="12.8" hidden="false" customHeight="false" outlineLevel="0" collapsed="false">
      <c r="A82" s="0" t="s">
        <v>622</v>
      </c>
    </row>
    <row r="83" customFormat="false" ht="12.8" hidden="false" customHeight="false" outlineLevel="0" collapsed="false">
      <c r="A83" s="0" t="s">
        <v>623</v>
      </c>
    </row>
    <row r="84" customFormat="false" ht="12.8" hidden="false" customHeight="false" outlineLevel="0" collapsed="false">
      <c r="A84" s="0" t="s">
        <v>624</v>
      </c>
    </row>
    <row r="85" customFormat="false" ht="12.8" hidden="false" customHeight="false" outlineLevel="0" collapsed="false">
      <c r="A85" s="0" t="s">
        <v>625</v>
      </c>
    </row>
    <row r="86" customFormat="false" ht="12.8" hidden="false" customHeight="false" outlineLevel="0" collapsed="false">
      <c r="A86" s="0" t="s">
        <v>293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R63"/>
  <sheetViews>
    <sheetView showFormulas="false" showGridLines="true" showRowColHeaders="true" showZeros="true" rightToLeft="false" tabSelected="false" showOutlineSymbols="true" defaultGridColor="true" view="normal" topLeftCell="A33" colorId="64" zoomScale="200" zoomScaleNormal="200" zoomScalePageLayoutView="100" workbookViewId="0">
      <selection pane="topLeft" activeCell="A47" activeCellId="0" sqref="A4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7.53"/>
    <col collapsed="false" customWidth="true" hidden="false" outlineLevel="0" max="2" min="2" style="0" width="24.87"/>
  </cols>
  <sheetData>
    <row r="1" customFormat="false" ht="12.8" hidden="false" customHeight="false" outlineLevel="0" collapsed="false">
      <c r="A1" s="23" t="s">
        <v>5</v>
      </c>
      <c r="B1" s="24" t="s">
        <v>626</v>
      </c>
    </row>
    <row r="2" customFormat="false" ht="12.8" hidden="false" customHeight="false" outlineLevel="0" collapsed="false">
      <c r="A2" s="25" t="s">
        <v>391</v>
      </c>
      <c r="B2" s="26"/>
      <c r="N2" s="0" t="s">
        <v>35</v>
      </c>
      <c r="O2" s="0" t="s">
        <v>627</v>
      </c>
    </row>
    <row r="3" customFormat="false" ht="68.65" hidden="false" customHeight="false" outlineLevel="0" collapsed="false">
      <c r="A3" s="27" t="s">
        <v>353</v>
      </c>
      <c r="B3" s="28"/>
      <c r="N3" s="0" t="s">
        <v>64</v>
      </c>
      <c r="O3" s="11" t="s">
        <v>628</v>
      </c>
      <c r="P3" s="0" t="s">
        <v>629</v>
      </c>
    </row>
    <row r="4" customFormat="false" ht="12.8" hidden="false" customHeight="false" outlineLevel="0" collapsed="false">
      <c r="A4" s="27" t="s">
        <v>124</v>
      </c>
      <c r="B4" s="28"/>
      <c r="N4" s="0" t="s">
        <v>414</v>
      </c>
      <c r="O4" s="0" t="s">
        <v>629</v>
      </c>
    </row>
    <row r="5" customFormat="false" ht="12.8" hidden="false" customHeight="false" outlineLevel="0" collapsed="false">
      <c r="A5" s="27" t="s">
        <v>285</v>
      </c>
      <c r="B5" s="28"/>
      <c r="N5" s="0" t="s">
        <v>429</v>
      </c>
      <c r="O5" s="0" t="s">
        <v>629</v>
      </c>
    </row>
    <row r="6" customFormat="false" ht="12.8" hidden="false" customHeight="false" outlineLevel="0" collapsed="false">
      <c r="A6" s="27" t="s">
        <v>35</v>
      </c>
      <c r="B6" s="28"/>
      <c r="N6" s="0" t="s">
        <v>450</v>
      </c>
      <c r="O6" s="0" t="s">
        <v>629</v>
      </c>
    </row>
    <row r="7" customFormat="false" ht="12.8" hidden="false" customHeight="false" outlineLevel="0" collapsed="false">
      <c r="A7" s="27" t="s">
        <v>542</v>
      </c>
      <c r="B7" s="28"/>
      <c r="N7" s="0" t="s">
        <v>473</v>
      </c>
      <c r="O7" s="0" t="s">
        <v>629</v>
      </c>
    </row>
    <row r="8" customFormat="false" ht="12.8" hidden="false" customHeight="false" outlineLevel="0" collapsed="false">
      <c r="A8" s="27" t="s">
        <v>414</v>
      </c>
      <c r="B8" s="28"/>
      <c r="N8" s="0" t="s">
        <v>483</v>
      </c>
      <c r="O8" s="0" t="s">
        <v>629</v>
      </c>
    </row>
    <row r="9" customFormat="false" ht="12.8" hidden="false" customHeight="false" outlineLevel="0" collapsed="false">
      <c r="A9" s="27" t="s">
        <v>429</v>
      </c>
      <c r="B9" s="28"/>
      <c r="N9" s="0" t="s">
        <v>466</v>
      </c>
      <c r="O9" s="0" t="s">
        <v>629</v>
      </c>
    </row>
    <row r="10" customFormat="false" ht="68.65" hidden="false" customHeight="false" outlineLevel="0" collapsed="false">
      <c r="A10" s="27" t="s">
        <v>450</v>
      </c>
      <c r="B10" s="28"/>
      <c r="N10" s="0" t="s">
        <v>421</v>
      </c>
      <c r="O10" s="11" t="s">
        <v>630</v>
      </c>
      <c r="P10" s="11" t="s">
        <v>631</v>
      </c>
      <c r="Q10" s="11" t="s">
        <v>632</v>
      </c>
      <c r="R10" s="11" t="s">
        <v>633</v>
      </c>
      <c r="S10" s="0" t="s">
        <v>634</v>
      </c>
    </row>
    <row r="11" customFormat="false" ht="12.8" hidden="false" customHeight="false" outlineLevel="0" collapsed="false">
      <c r="A11" s="27" t="s">
        <v>473</v>
      </c>
      <c r="B11" s="28"/>
      <c r="N11" s="0" t="s">
        <v>285</v>
      </c>
      <c r="O11" s="0" t="s">
        <v>634</v>
      </c>
    </row>
    <row r="12" customFormat="false" ht="91" hidden="false" customHeight="false" outlineLevel="0" collapsed="false">
      <c r="A12" s="27" t="s">
        <v>483</v>
      </c>
      <c r="B12" s="28"/>
      <c r="N12" s="0" t="s">
        <v>43</v>
      </c>
      <c r="O12" s="11" t="s">
        <v>635</v>
      </c>
      <c r="P12" s="11" t="s">
        <v>636</v>
      </c>
      <c r="Q12" s="11" t="s">
        <v>637</v>
      </c>
      <c r="R12" s="11" t="s">
        <v>638</v>
      </c>
      <c r="S12" s="11" t="s">
        <v>639</v>
      </c>
      <c r="T12" s="11" t="s">
        <v>640</v>
      </c>
      <c r="U12" s="11" t="s">
        <v>641</v>
      </c>
      <c r="V12" s="11" t="s">
        <v>642</v>
      </c>
      <c r="W12" s="0" t="s">
        <v>643</v>
      </c>
    </row>
    <row r="13" customFormat="false" ht="68.65" hidden="false" customHeight="false" outlineLevel="0" collapsed="false">
      <c r="A13" s="27" t="s">
        <v>466</v>
      </c>
      <c r="B13" s="28"/>
      <c r="N13" s="0" t="s">
        <v>644</v>
      </c>
      <c r="O13" s="11" t="s">
        <v>645</v>
      </c>
      <c r="P13" s="11" t="s">
        <v>646</v>
      </c>
      <c r="Q13" s="11" t="s">
        <v>647</v>
      </c>
      <c r="R13" s="11" t="s">
        <v>648</v>
      </c>
      <c r="S13" s="11" t="s">
        <v>649</v>
      </c>
      <c r="T13" s="11" t="s">
        <v>650</v>
      </c>
      <c r="U13" s="11" t="s">
        <v>651</v>
      </c>
      <c r="V13" s="11" t="s">
        <v>652</v>
      </c>
      <c r="W13" s="11" t="s">
        <v>653</v>
      </c>
      <c r="X13" s="0" t="s">
        <v>654</v>
      </c>
    </row>
    <row r="14" customFormat="false" ht="12.8" hidden="false" customHeight="false" outlineLevel="0" collapsed="false">
      <c r="A14" s="27" t="s">
        <v>421</v>
      </c>
      <c r="B14" s="28"/>
      <c r="N14" s="0" t="s">
        <v>608</v>
      </c>
      <c r="O14" s="0" t="s">
        <v>655</v>
      </c>
    </row>
    <row r="15" customFormat="false" ht="12.8" hidden="false" customHeight="false" outlineLevel="0" collapsed="false">
      <c r="A15" s="27" t="s">
        <v>64</v>
      </c>
      <c r="B15" s="28"/>
      <c r="N15" s="0" t="s">
        <v>526</v>
      </c>
      <c r="O15" s="0" t="s">
        <v>656</v>
      </c>
    </row>
    <row r="16" customFormat="false" ht="12.8" hidden="false" customHeight="false" outlineLevel="0" collapsed="false">
      <c r="A16" s="27" t="s">
        <v>357</v>
      </c>
      <c r="B16" s="28"/>
      <c r="N16" s="0" t="s">
        <v>609</v>
      </c>
      <c r="O16" s="0" t="s">
        <v>657</v>
      </c>
    </row>
    <row r="17" customFormat="false" ht="12.8" hidden="false" customHeight="false" outlineLevel="0" collapsed="false">
      <c r="A17" s="27" t="s">
        <v>43</v>
      </c>
      <c r="B17" s="28"/>
      <c r="N17" s="0" t="s">
        <v>94</v>
      </c>
      <c r="O17" s="0" t="s">
        <v>658</v>
      </c>
    </row>
    <row r="18" customFormat="false" ht="12.8" hidden="false" customHeight="false" outlineLevel="0" collapsed="false">
      <c r="A18" s="27" t="s">
        <v>59</v>
      </c>
      <c r="B18" s="28"/>
      <c r="N18" s="0" t="s">
        <v>659</v>
      </c>
      <c r="O18" s="0" t="s">
        <v>660</v>
      </c>
    </row>
    <row r="19" customFormat="false" ht="12.8" hidden="false" customHeight="false" outlineLevel="0" collapsed="false">
      <c r="A19" s="27" t="s">
        <v>485</v>
      </c>
      <c r="B19" s="28"/>
      <c r="N19" s="0" t="s">
        <v>95</v>
      </c>
      <c r="O19" s="0" t="s">
        <v>661</v>
      </c>
    </row>
    <row r="20" customFormat="false" ht="12.8" hidden="false" customHeight="false" outlineLevel="0" collapsed="false">
      <c r="A20" s="27" t="s">
        <v>343</v>
      </c>
      <c r="B20" s="28"/>
      <c r="N20" s="0" t="s">
        <v>610</v>
      </c>
      <c r="O20" s="0" t="s">
        <v>662</v>
      </c>
    </row>
    <row r="21" customFormat="false" ht="12.8" hidden="false" customHeight="false" outlineLevel="0" collapsed="false">
      <c r="A21" s="27" t="s">
        <v>511</v>
      </c>
      <c r="B21" s="28"/>
      <c r="N21" s="0" t="s">
        <v>529</v>
      </c>
      <c r="O21" s="0" t="s">
        <v>663</v>
      </c>
    </row>
    <row r="22" customFormat="false" ht="12.8" hidden="false" customHeight="false" outlineLevel="0" collapsed="false">
      <c r="A22" s="27" t="s">
        <v>327</v>
      </c>
      <c r="B22" s="28"/>
      <c r="N22" s="0" t="s">
        <v>303</v>
      </c>
      <c r="O22" s="0" t="s">
        <v>664</v>
      </c>
    </row>
    <row r="23" customFormat="false" ht="12.8" hidden="false" customHeight="false" outlineLevel="0" collapsed="false">
      <c r="A23" s="27" t="s">
        <v>24</v>
      </c>
      <c r="B23" s="28"/>
      <c r="N23" s="0" t="s">
        <v>88</v>
      </c>
      <c r="O23" s="0" t="s">
        <v>665</v>
      </c>
    </row>
    <row r="24" customFormat="false" ht="12.8" hidden="false" customHeight="false" outlineLevel="0" collapsed="false">
      <c r="A24" s="27" t="s">
        <v>31</v>
      </c>
      <c r="B24" s="28"/>
      <c r="N24" s="0" t="s">
        <v>666</v>
      </c>
      <c r="O24" s="0" t="s">
        <v>667</v>
      </c>
    </row>
    <row r="25" customFormat="false" ht="12.8" hidden="false" customHeight="false" outlineLevel="0" collapsed="false">
      <c r="A25" s="27" t="s">
        <v>274</v>
      </c>
      <c r="B25" s="28"/>
      <c r="N25" s="0" t="s">
        <v>373</v>
      </c>
      <c r="O25" s="0" t="s">
        <v>668</v>
      </c>
    </row>
    <row r="26" customFormat="false" ht="12.8" hidden="false" customHeight="false" outlineLevel="0" collapsed="false">
      <c r="A26" s="27" t="s">
        <v>106</v>
      </c>
      <c r="B26" s="28"/>
      <c r="N26" s="0" t="s">
        <v>611</v>
      </c>
      <c r="O26" s="0" t="s">
        <v>669</v>
      </c>
    </row>
    <row r="27" customFormat="false" ht="12.8" hidden="false" customHeight="false" outlineLevel="0" collapsed="false">
      <c r="A27" s="27" t="s">
        <v>526</v>
      </c>
      <c r="B27" s="28"/>
      <c r="N27" s="0" t="s">
        <v>181</v>
      </c>
      <c r="O27" s="0" t="s">
        <v>670</v>
      </c>
    </row>
    <row r="28" customFormat="false" ht="12.8" hidden="false" customHeight="false" outlineLevel="0" collapsed="false">
      <c r="A28" s="27" t="s">
        <v>77</v>
      </c>
      <c r="B28" s="28"/>
      <c r="N28" s="0" t="s">
        <v>612</v>
      </c>
      <c r="O28" s="0" t="s">
        <v>671</v>
      </c>
    </row>
    <row r="29" customFormat="false" ht="12.8" hidden="false" customHeight="false" outlineLevel="0" collapsed="false">
      <c r="A29" s="27" t="s">
        <v>94</v>
      </c>
      <c r="B29" s="28"/>
      <c r="N29" s="0" t="s">
        <v>672</v>
      </c>
      <c r="O29" s="0" t="s">
        <v>673</v>
      </c>
    </row>
    <row r="30" customFormat="false" ht="12.8" hidden="false" customHeight="false" outlineLevel="0" collapsed="false">
      <c r="A30" s="27" t="s">
        <v>84</v>
      </c>
      <c r="B30" s="28"/>
      <c r="N30" s="0" t="s">
        <v>182</v>
      </c>
      <c r="O30" s="0" t="s">
        <v>674</v>
      </c>
    </row>
    <row r="31" customFormat="false" ht="12.8" hidden="false" customHeight="false" outlineLevel="0" collapsed="false">
      <c r="A31" s="27" t="s">
        <v>181</v>
      </c>
      <c r="B31" s="28"/>
      <c r="N31" s="0" t="s">
        <v>613</v>
      </c>
      <c r="O31" s="0" t="s">
        <v>675</v>
      </c>
    </row>
    <row r="32" customFormat="false" ht="12.8" hidden="false" customHeight="false" outlineLevel="0" collapsed="false">
      <c r="A32" s="27" t="s">
        <v>182</v>
      </c>
      <c r="B32" s="28"/>
      <c r="N32" s="0" t="s">
        <v>676</v>
      </c>
      <c r="O32" s="0" t="s">
        <v>677</v>
      </c>
    </row>
    <row r="33" customFormat="false" ht="12.8" hidden="false" customHeight="false" outlineLevel="0" collapsed="false">
      <c r="A33" s="27" t="s">
        <v>529</v>
      </c>
      <c r="B33" s="28"/>
      <c r="N33" s="0" t="s">
        <v>84</v>
      </c>
      <c r="O33" s="0" t="s">
        <v>678</v>
      </c>
    </row>
    <row r="34" customFormat="false" ht="12.8" hidden="false" customHeight="false" outlineLevel="0" collapsed="false">
      <c r="A34" s="27" t="s">
        <v>95</v>
      </c>
      <c r="B34" s="28"/>
      <c r="N34" s="0" t="s">
        <v>614</v>
      </c>
      <c r="O34" s="0" t="s">
        <v>679</v>
      </c>
    </row>
    <row r="35" customFormat="false" ht="12.8" hidden="false" customHeight="false" outlineLevel="0" collapsed="false">
      <c r="A35" s="27" t="s">
        <v>303</v>
      </c>
      <c r="B35" s="28"/>
      <c r="N35" s="0" t="s">
        <v>680</v>
      </c>
      <c r="O35" s="0" t="s">
        <v>681</v>
      </c>
    </row>
    <row r="36" customFormat="false" ht="12.8" hidden="false" customHeight="false" outlineLevel="0" collapsed="false">
      <c r="A36" s="27" t="s">
        <v>88</v>
      </c>
      <c r="B36" s="28"/>
      <c r="N36" s="0" t="s">
        <v>93</v>
      </c>
      <c r="O36" s="0" t="s">
        <v>682</v>
      </c>
    </row>
    <row r="37" customFormat="false" ht="12.8" hidden="false" customHeight="false" outlineLevel="0" collapsed="false">
      <c r="A37" s="27" t="s">
        <v>373</v>
      </c>
      <c r="B37" s="28"/>
      <c r="N37" s="0" t="s">
        <v>615</v>
      </c>
      <c r="O37" s="0" t="s">
        <v>683</v>
      </c>
    </row>
    <row r="38" customFormat="false" ht="12.8" hidden="false" customHeight="false" outlineLevel="0" collapsed="false">
      <c r="A38" s="27" t="s">
        <v>399</v>
      </c>
      <c r="B38" s="28"/>
      <c r="N38" s="0" t="s">
        <v>684</v>
      </c>
      <c r="O38" s="0" t="s">
        <v>685</v>
      </c>
    </row>
    <row r="39" customFormat="false" ht="12.8" hidden="false" customHeight="false" outlineLevel="0" collapsed="false">
      <c r="A39" s="27" t="s">
        <v>101</v>
      </c>
      <c r="B39" s="28"/>
      <c r="N39" s="0" t="s">
        <v>106</v>
      </c>
      <c r="O39" s="0" t="s">
        <v>686</v>
      </c>
    </row>
    <row r="40" customFormat="false" ht="79.85" hidden="false" customHeight="false" outlineLevel="0" collapsed="false">
      <c r="A40" s="27" t="s">
        <v>161</v>
      </c>
      <c r="B40" s="28"/>
      <c r="N40" s="0" t="s">
        <v>687</v>
      </c>
      <c r="O40" s="11" t="s">
        <v>688</v>
      </c>
      <c r="P40" s="11" t="s">
        <v>689</v>
      </c>
      <c r="Q40" s="11" t="s">
        <v>690</v>
      </c>
      <c r="R40" s="11" t="s">
        <v>691</v>
      </c>
      <c r="S40" s="11" t="s">
        <v>692</v>
      </c>
      <c r="T40" s="11" t="s">
        <v>693</v>
      </c>
      <c r="U40" s="11" t="s">
        <v>694</v>
      </c>
      <c r="V40" s="11" t="s">
        <v>695</v>
      </c>
      <c r="W40" s="11" t="s">
        <v>696</v>
      </c>
      <c r="X40" s="11" t="s">
        <v>697</v>
      </c>
      <c r="Y40" s="11" t="s">
        <v>698</v>
      </c>
      <c r="Z40" s="11" t="s">
        <v>699</v>
      </c>
      <c r="AA40" s="11" t="s">
        <v>700</v>
      </c>
      <c r="AB40" s="11" t="s">
        <v>701</v>
      </c>
      <c r="AC40" s="11" t="s">
        <v>702</v>
      </c>
      <c r="AD40" s="11" t="s">
        <v>703</v>
      </c>
      <c r="AE40" s="11" t="s">
        <v>704</v>
      </c>
      <c r="AF40" s="11" t="s">
        <v>705</v>
      </c>
      <c r="AG40" s="11" t="s">
        <v>706</v>
      </c>
      <c r="AH40" s="11" t="s">
        <v>707</v>
      </c>
      <c r="AI40" s="11" t="s">
        <v>708</v>
      </c>
      <c r="AJ40" s="11" t="s">
        <v>709</v>
      </c>
      <c r="AK40" s="11" t="s">
        <v>710</v>
      </c>
      <c r="AL40" s="11" t="s">
        <v>711</v>
      </c>
      <c r="AM40" s="11" t="s">
        <v>712</v>
      </c>
      <c r="AN40" s="11" t="s">
        <v>713</v>
      </c>
      <c r="AO40" s="11" t="s">
        <v>714</v>
      </c>
      <c r="AP40" s="11" t="s">
        <v>715</v>
      </c>
      <c r="AQ40" s="11" t="s">
        <v>716</v>
      </c>
      <c r="AR40" s="0" t="s">
        <v>717</v>
      </c>
    </row>
    <row r="41" customFormat="false" ht="12.8" hidden="false" customHeight="false" outlineLevel="0" collapsed="false">
      <c r="A41" s="27" t="s">
        <v>396</v>
      </c>
      <c r="B41" s="28"/>
      <c r="N41" s="0" t="s">
        <v>621</v>
      </c>
      <c r="O41" s="0" t="s">
        <v>717</v>
      </c>
    </row>
    <row r="42" customFormat="false" ht="79.85" hidden="false" customHeight="false" outlineLevel="0" collapsed="false">
      <c r="A42" s="27" t="s">
        <v>90</v>
      </c>
      <c r="B42" s="28"/>
      <c r="N42" s="0" t="s">
        <v>24</v>
      </c>
      <c r="O42" s="11" t="s">
        <v>718</v>
      </c>
      <c r="P42" s="11" t="s">
        <v>719</v>
      </c>
      <c r="Q42" s="11" t="s">
        <v>720</v>
      </c>
      <c r="R42" s="11" t="s">
        <v>721</v>
      </c>
      <c r="S42" s="11" t="s">
        <v>722</v>
      </c>
      <c r="T42" s="11" t="s">
        <v>723</v>
      </c>
      <c r="U42" s="11" t="s">
        <v>724</v>
      </c>
      <c r="V42" s="0" t="s">
        <v>725</v>
      </c>
    </row>
    <row r="43" customFormat="false" ht="12.8" hidden="false" customHeight="false" outlineLevel="0" collapsed="false">
      <c r="A43" s="27" t="s">
        <v>137</v>
      </c>
      <c r="B43" s="28"/>
    </row>
    <row r="44" customFormat="false" ht="12.8" hidden="false" customHeight="false" outlineLevel="0" collapsed="false">
      <c r="A44" s="27" t="s">
        <v>532</v>
      </c>
      <c r="B44" s="28"/>
    </row>
    <row r="45" customFormat="false" ht="12.8" hidden="false" customHeight="false" outlineLevel="0" collapsed="false">
      <c r="A45" s="27" t="s">
        <v>540</v>
      </c>
      <c r="B45" s="28"/>
    </row>
    <row r="46" customFormat="false" ht="12.8" hidden="false" customHeight="false" outlineLevel="0" collapsed="false">
      <c r="A46" s="27" t="s">
        <v>104</v>
      </c>
      <c r="B46" s="28"/>
    </row>
    <row r="47" customFormat="false" ht="12.8" hidden="false" customHeight="false" outlineLevel="0" collapsed="false">
      <c r="A47" s="27" t="s">
        <v>323</v>
      </c>
      <c r="B47" s="28"/>
    </row>
    <row r="48" customFormat="false" ht="12.8" hidden="false" customHeight="false" outlineLevel="0" collapsed="false">
      <c r="A48" s="27" t="s">
        <v>331</v>
      </c>
      <c r="B48" s="28"/>
    </row>
    <row r="49" customFormat="false" ht="12.8" hidden="false" customHeight="false" outlineLevel="0" collapsed="false">
      <c r="A49" s="27" t="s">
        <v>293</v>
      </c>
      <c r="B49" s="28"/>
    </row>
    <row r="50" customFormat="false" ht="12.8" hidden="false" customHeight="false" outlineLevel="0" collapsed="false">
      <c r="A50" s="27" t="s">
        <v>349</v>
      </c>
      <c r="B50" s="28"/>
    </row>
    <row r="51" customFormat="false" ht="12.8" hidden="false" customHeight="false" outlineLevel="0" collapsed="false">
      <c r="A51" s="27" t="s">
        <v>477</v>
      </c>
      <c r="B51" s="28"/>
    </row>
    <row r="52" customFormat="false" ht="12.8" hidden="false" customHeight="false" outlineLevel="0" collapsed="false">
      <c r="A52" s="27" t="s">
        <v>491</v>
      </c>
      <c r="B52" s="28"/>
    </row>
    <row r="53" customFormat="false" ht="12.8" hidden="false" customHeight="false" outlineLevel="0" collapsed="false">
      <c r="A53" s="27" t="s">
        <v>152</v>
      </c>
      <c r="B53" s="28"/>
    </row>
    <row r="54" customFormat="false" ht="12.8" hidden="false" customHeight="false" outlineLevel="0" collapsed="false">
      <c r="A54" s="27" t="s">
        <v>402</v>
      </c>
      <c r="B54" s="28"/>
    </row>
    <row r="55" customFormat="false" ht="12.8" hidden="false" customHeight="false" outlineLevel="0" collapsed="false">
      <c r="A55" s="27" t="s">
        <v>407</v>
      </c>
      <c r="B55" s="28"/>
    </row>
    <row r="56" customFormat="false" ht="12.8" hidden="false" customHeight="false" outlineLevel="0" collapsed="false">
      <c r="A56" s="27" t="s">
        <v>220</v>
      </c>
      <c r="B56" s="28"/>
    </row>
    <row r="57" customFormat="false" ht="12.8" hidden="false" customHeight="false" outlineLevel="0" collapsed="false">
      <c r="A57" s="27" t="s">
        <v>305</v>
      </c>
      <c r="B57" s="28"/>
    </row>
    <row r="58" customFormat="false" ht="12.8" hidden="false" customHeight="false" outlineLevel="0" collapsed="false">
      <c r="A58" s="27" t="s">
        <v>143</v>
      </c>
      <c r="B58" s="28"/>
    </row>
    <row r="59" customFormat="false" ht="12.8" hidden="false" customHeight="false" outlineLevel="0" collapsed="false">
      <c r="A59" s="27" t="s">
        <v>335</v>
      </c>
      <c r="B59" s="28"/>
    </row>
    <row r="60" customFormat="false" ht="12.8" hidden="false" customHeight="false" outlineLevel="0" collapsed="false">
      <c r="A60" s="27" t="s">
        <v>197</v>
      </c>
      <c r="B60" s="28"/>
    </row>
    <row r="61" customFormat="false" ht="12.8" hidden="false" customHeight="false" outlineLevel="0" collapsed="false">
      <c r="A61" s="27" t="s">
        <v>93</v>
      </c>
      <c r="B61" s="28"/>
    </row>
    <row r="62" customFormat="false" ht="12.8" hidden="false" customHeight="false" outlineLevel="0" collapsed="false">
      <c r="A62" s="27" t="s">
        <v>426</v>
      </c>
      <c r="B62" s="29"/>
    </row>
    <row r="63" customFormat="false" ht="12.8" hidden="false" customHeight="false" outlineLevel="0" collapsed="false">
      <c r="A63" s="30" t="s">
        <v>726</v>
      </c>
      <c r="B63" s="3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N1048576"/>
  <sheetViews>
    <sheetView showFormulas="false" showGridLines="true" showRowColHeaders="true" showZeros="true" rightToLeft="false" tabSelected="false" showOutlineSymbols="true" defaultGridColor="true" view="normal" topLeftCell="B1" colorId="64" zoomScale="200" zoomScaleNormal="200" zoomScalePageLayoutView="100" workbookViewId="0">
      <selection pane="topLeft" activeCell="F14" activeCellId="0" sqref="F14"/>
    </sheetView>
  </sheetViews>
  <sheetFormatPr defaultColWidth="11.53515625" defaultRowHeight="14.4" zeroHeight="false" outlineLevelRow="0" outlineLevelCol="0"/>
  <cols>
    <col collapsed="false" customWidth="true" hidden="false" outlineLevel="0" max="1" min="1" style="32" width="2.54"/>
    <col collapsed="false" customWidth="true" hidden="false" outlineLevel="0" max="2" min="2" style="32" width="7.61"/>
    <col collapsed="false" customWidth="true" hidden="false" outlineLevel="0" max="3" min="3" style="32" width="20.49"/>
    <col collapsed="false" customWidth="true" hidden="false" outlineLevel="0" max="4" min="4" style="32" width="31.58"/>
    <col collapsed="false" customWidth="true" hidden="false" outlineLevel="0" max="6" min="5" style="32" width="31.01"/>
    <col collapsed="false" customWidth="true" hidden="false" outlineLevel="0" max="7" min="7" style="32" width="27.53"/>
    <col collapsed="false" customWidth="true" hidden="false" outlineLevel="0" max="9" min="8" style="32" width="31.23"/>
    <col collapsed="false" customWidth="true" hidden="false" outlineLevel="0" max="12" min="10" style="32" width="22.09"/>
    <col collapsed="false" customWidth="true" hidden="false" outlineLevel="0" max="13" min="13" style="32" width="1.92"/>
    <col collapsed="false" customWidth="false" hidden="false" outlineLevel="0" max="1024" min="14" style="32" width="11.52"/>
  </cols>
  <sheetData>
    <row r="1" customFormat="false" ht="14.4" hidden="false" customHeight="true" outlineLevel="0" collapsed="false">
      <c r="B1" s="32" t="s">
        <v>727</v>
      </c>
      <c r="C1" s="33" t="s">
        <v>728</v>
      </c>
      <c r="D1" s="34" t="s">
        <v>729</v>
      </c>
      <c r="E1" s="34" t="s">
        <v>730</v>
      </c>
      <c r="F1" s="32" t="s">
        <v>731</v>
      </c>
      <c r="G1" s="32" t="s">
        <v>732</v>
      </c>
      <c r="H1" s="32" t="s">
        <v>733</v>
      </c>
      <c r="I1" s="32" t="s">
        <v>734</v>
      </c>
      <c r="J1" s="32" t="s">
        <v>735</v>
      </c>
      <c r="K1" s="32" t="s">
        <v>736</v>
      </c>
      <c r="L1" s="32" t="s">
        <v>737</v>
      </c>
    </row>
    <row r="2" customFormat="false" ht="14.4" hidden="false" customHeight="true" outlineLevel="0" collapsed="false">
      <c r="C2" s="33" t="str">
        <f aca="false">""""&amp;D2&amp;E2&amp;F2&amp;""""&amp;IF(ISTEXT(G2),","&amp;""""&amp;G2&amp;"""","")&amp;IF(ISTEXT(H2),","&amp;""""&amp;H2&amp;"""","")&amp;IF(ISTEXT(I2),","&amp;""""&amp;I2&amp;"""","")&amp;IF(ISTEXT(J2),","&amp;""""&amp;J2&amp;"""","")&amp;IF(ISTEXT(K2),","&amp;""""&amp;K2&amp;"""","")&amp;IF(ISTEXT(L2),","&amp;""""&amp;L2&amp;"""","")&amp;"],"</f>
        <v>"A“:[”B","c","d","f","g","h"],</v>
      </c>
      <c r="D2" s="32" t="s">
        <v>738</v>
      </c>
      <c r="E2" s="32" t="s">
        <v>739</v>
      </c>
      <c r="F2" s="32" t="s">
        <v>740</v>
      </c>
      <c r="G2" s="32" t="s">
        <v>741</v>
      </c>
      <c r="H2" s="32" t="s">
        <v>742</v>
      </c>
      <c r="J2" s="32" t="s">
        <v>743</v>
      </c>
      <c r="K2" s="32" t="s">
        <v>744</v>
      </c>
      <c r="L2" s="32" t="s">
        <v>745</v>
      </c>
    </row>
    <row r="3" customFormat="false" ht="14.4" hidden="false" customHeight="true" outlineLevel="0" collapsed="false">
      <c r="C3" s="33" t="str">
        <f aca="false">""""&amp;D3&amp;E3&amp;F3&amp;""""&amp;IF(ISTEXT(G3),","&amp;""""&amp;G3&amp;"""","")&amp;IF(ISTEXT(H3),","&amp;""""&amp;H3&amp;"""","")&amp;IF(ISTEXT(I3),","&amp;""""&amp;I3&amp;"""","")&amp;IF(ISTEXT(J3),","&amp;""""&amp;J3&amp;"""","")&amp;IF(ISTEXT(K3),","&amp;""""&amp;K3&amp;"""","")&amp;IF(ISTEXT(L3),","&amp;""""&amp;L3&amp;"""","")&amp;"],"</f>
        <v>"AG_Ammeter01_A-0-300“:[”AG_Ammeter01_AC_NA"],</v>
      </c>
      <c r="D3" s="32" t="s">
        <v>391</v>
      </c>
      <c r="E3" s="32" t="s">
        <v>739</v>
      </c>
      <c r="F3" s="33" t="s">
        <v>746</v>
      </c>
      <c r="G3" s="33"/>
      <c r="H3" s="33"/>
      <c r="I3" s="33"/>
      <c r="J3" s="33"/>
      <c r="K3" s="33"/>
      <c r="L3" s="33"/>
    </row>
    <row r="4" customFormat="false" ht="14.4" hidden="false" customHeight="true" outlineLevel="0" collapsed="false">
      <c r="C4" s="33" t="str">
        <f aca="false">""""&amp;D4&amp;E4&amp;F4&amp;""""&amp;IF(ISTEXT(G4),","&amp;""""&amp;G4&amp;"""","")&amp;IF(ISTEXT(H4),","&amp;""""&amp;H4&amp;"""","")&amp;IF(ISTEXT(I4),","&amp;""""&amp;I4&amp;"""","")&amp;IF(ISTEXT(J4),","&amp;""""&amp;J4&amp;"""","")&amp;IF(ISTEXT(K4),","&amp;""""&amp;K4&amp;"""","")&amp;IF(ISTEXT(L4),","&amp;""""&amp;L4&amp;"""","")&amp;"],"</f>
        <v>"AG_Ammeter02_A-0-30“:[”AG_Ammeter02_AC_NA"],</v>
      </c>
      <c r="D4" s="32" t="s">
        <v>353</v>
      </c>
      <c r="E4" s="32" t="s">
        <v>739</v>
      </c>
      <c r="F4" s="32" t="s">
        <v>747</v>
      </c>
    </row>
    <row r="5" customFormat="false" ht="14.4" hidden="false" customHeight="true" outlineLevel="0" collapsed="false">
      <c r="C5" s="33" t="str">
        <f aca="false">""""&amp;D5&amp;E5&amp;F5&amp;""""&amp;IF(ISTEXT(G5),","&amp;""""&amp;G5&amp;"""","")&amp;IF(ISTEXT(H5),","&amp;""""&amp;H5&amp;"""","")&amp;IF(ISTEXT(I5),","&amp;""""&amp;I5&amp;"""","")&amp;IF(ISTEXT(J5),","&amp;""""&amp;J5&amp;"""","")&amp;IF(ISTEXT(K5),","&amp;""""&amp;K5&amp;"""","")&amp;IF(ISTEXT(L5),","&amp;""""&amp;L5&amp;"""","")&amp;"],"</f>
        <v>"AG_Ammeter03_A-0-100“:[”AG_Ammeter03_AC_NA","AG_Ammeter04_AC_NA"],</v>
      </c>
      <c r="D5" s="32" t="s">
        <v>124</v>
      </c>
      <c r="E5" s="32" t="s">
        <v>739</v>
      </c>
      <c r="F5" s="32" t="s">
        <v>748</v>
      </c>
      <c r="G5" s="32" t="s">
        <v>749</v>
      </c>
    </row>
    <row r="6" customFormat="false" ht="14.4" hidden="false" customHeight="true" outlineLevel="0" collapsed="false">
      <c r="C6" s="33" t="str">
        <f aca="false">""""&amp;D6&amp;E6&amp;F6&amp;""""&amp;IF(ISTEXT(G6),","&amp;""""&amp;G6&amp;"""","")&amp;IF(ISTEXT(H6),","&amp;""""&amp;H6&amp;"""","")&amp;IF(ISTEXT(I6),","&amp;""""&amp;I6&amp;"""","")&amp;IF(ISTEXT(J6),","&amp;""""&amp;J6&amp;"""","")&amp;IF(ISTEXT(K6),","&amp;""""&amp;K6&amp;"""","")&amp;IF(ISTEXT(L6),","&amp;""""&amp;L6&amp;"""","")&amp;"],"</f>
        <v>"AG_Ammeter04_A-0-100“:[”AG_Ammeter03_AC_NA","AG_Ammeter04_AC_NA"],</v>
      </c>
      <c r="D6" s="32" t="s">
        <v>285</v>
      </c>
      <c r="E6" s="32" t="s">
        <v>739</v>
      </c>
      <c r="F6" s="32" t="s">
        <v>748</v>
      </c>
      <c r="G6" s="32" t="s">
        <v>749</v>
      </c>
    </row>
    <row r="7" customFormat="false" ht="14.4" hidden="false" customHeight="true" outlineLevel="0" collapsed="false">
      <c r="C7" s="33" t="str">
        <f aca="false">""""&amp;D7&amp;E7&amp;F7&amp;""""&amp;IF(ISTEXT(G7),","&amp;""""&amp;G7&amp;"""","")&amp;IF(ISTEXT(H7),","&amp;""""&amp;H7&amp;"""","")&amp;IF(ISTEXT(I7),","&amp;""""&amp;I7&amp;"""","")&amp;IF(ISTEXT(J7),","&amp;""""&amp;J7&amp;"""","")&amp;IF(ISTEXT(K7),","&amp;""""&amp;K7&amp;"""","")&amp;IF(ISTEXT(L7),","&amp;""""&amp;L7&amp;"""","")&amp;"],"</f>
        <v>"AG_Pressure_Fire-extinguisher“:[”AG_Pressure_Fire-extinguisher","AG_Pressure_Fire-extingusher"," AG_Pressure_Fire-extingusher_NA","AG_Pressure_Fire-extinguisher_NA"],</v>
      </c>
      <c r="D7" s="32" t="s">
        <v>35</v>
      </c>
      <c r="E7" s="32" t="s">
        <v>739</v>
      </c>
      <c r="F7" s="33" t="s">
        <v>35</v>
      </c>
      <c r="G7" s="32" t="s">
        <v>606</v>
      </c>
      <c r="H7" s="32" t="s">
        <v>750</v>
      </c>
      <c r="I7" s="32" t="s">
        <v>751</v>
      </c>
    </row>
    <row r="8" customFormat="false" ht="14.4" hidden="false" customHeight="true" outlineLevel="0" collapsed="false">
      <c r="C8" s="33" t="str">
        <f aca="false">""""&amp;D8&amp;E8&amp;F8&amp;""""&amp;IF(ISTEXT(G8),","&amp;""""&amp;G8&amp;"""","")&amp;IF(ISTEXT(H8),","&amp;""""&amp;H8&amp;"""","")&amp;IF(ISTEXT(I8),","&amp;""""&amp;I8&amp;"""","")&amp;IF(ISTEXT(J8),","&amp;""""&amp;J8&amp;"""","")&amp;IF(ISTEXT(K8),","&amp;""""&amp;K8&amp;"""","")&amp;IF(ISTEXT(L8),","&amp;""""&amp;L8&amp;"""","")&amp;"],"</f>
        <v>"AG_Pressure01_P-0-1“:[”AG_Pressure01_NA_NA","AG_Pressure02_NA_NA","AG_Pressure03_NA_NA","AG_Pressure04_NA_NA","AG_Pressure05_NA_NA","AG_Pressure06_NA_NA","AG_Pressure07_NA_NA"],</v>
      </c>
      <c r="D8" s="32" t="s">
        <v>542</v>
      </c>
      <c r="E8" s="32" t="s">
        <v>739</v>
      </c>
      <c r="F8" s="32" t="s">
        <v>752</v>
      </c>
      <c r="G8" s="32" t="s">
        <v>753</v>
      </c>
      <c r="H8" s="32" t="s">
        <v>754</v>
      </c>
      <c r="I8" s="32" t="s">
        <v>755</v>
      </c>
      <c r="J8" s="32" t="s">
        <v>756</v>
      </c>
      <c r="K8" s="32" t="s">
        <v>757</v>
      </c>
      <c r="L8" s="32" t="s">
        <v>758</v>
      </c>
    </row>
    <row r="9" customFormat="false" ht="14.4" hidden="false" customHeight="true" outlineLevel="0" collapsed="false">
      <c r="C9" s="33" t="str">
        <f aca="false">""""&amp;D9&amp;E9&amp;F9&amp;""""&amp;IF(ISTEXT(G9),","&amp;""""&amp;G9&amp;"""","")&amp;IF(ISTEXT(H9),","&amp;""""&amp;H9&amp;"""","")&amp;IF(ISTEXT(I9),","&amp;""""&amp;I9&amp;"""","")&amp;IF(ISTEXT(J9),","&amp;""""&amp;J9&amp;"""","")&amp;IF(ISTEXT(K9),","&amp;""""&amp;K9&amp;"""","")&amp;IF(ISTEXT(L9),","&amp;""""&amp;L9&amp;"""","")&amp;"],"</f>
        <v>"AG_Pressure02_P-0-1.5“:[”AG_Pressure01_NA_NA","AG_Pressure02_NA_NA","AG_Pressure03_NA_NA","AG_Pressure04_NA_NA","AG_Pressure05_NA_NA","AG_Pressure06_NA_NA","AG_Pressure07_NA_NA"],</v>
      </c>
      <c r="D9" s="32" t="s">
        <v>414</v>
      </c>
      <c r="E9" s="32" t="s">
        <v>739</v>
      </c>
      <c r="F9" s="32" t="s">
        <v>752</v>
      </c>
      <c r="G9" s="32" t="s">
        <v>753</v>
      </c>
      <c r="H9" s="32" t="s">
        <v>754</v>
      </c>
      <c r="I9" s="32" t="s">
        <v>755</v>
      </c>
      <c r="J9" s="32" t="s">
        <v>756</v>
      </c>
      <c r="K9" s="32" t="s">
        <v>757</v>
      </c>
      <c r="L9" s="32" t="s">
        <v>758</v>
      </c>
    </row>
    <row r="10" customFormat="false" ht="14.4" hidden="false" customHeight="true" outlineLevel="0" collapsed="false">
      <c r="C10" s="33" t="str">
        <f aca="false">""""&amp;D10&amp;E10&amp;F10&amp;""""&amp;IF(ISTEXT(G10),","&amp;""""&amp;G10&amp;"""","")&amp;IF(ISTEXT(H10),","&amp;""""&amp;H10&amp;"""","")&amp;IF(ISTEXT(I10),","&amp;""""&amp;I10&amp;"""","")&amp;IF(ISTEXT(J10),","&amp;""""&amp;J10&amp;"""","")&amp;IF(ISTEXT(K10),","&amp;""""&amp;K10&amp;"""","")&amp;IF(ISTEXT(L10),","&amp;""""&amp;L10&amp;"""","")&amp;"],"</f>
        <v>"AG_Pressure03_P-0-1.5“:[”AG_Pressure01_NA_NA","AG_Pressure02_NA_NA","AG_Pressure03_NA_NA","AG_Pressure04_NA_NA","AG_Pressure05_NA_NA","AG_Pressure06_NA_NA","AG_Pressure07_NA_NA"],</v>
      </c>
      <c r="D10" s="32" t="s">
        <v>429</v>
      </c>
      <c r="E10" s="32" t="s">
        <v>739</v>
      </c>
      <c r="F10" s="32" t="s">
        <v>752</v>
      </c>
      <c r="G10" s="32" t="s">
        <v>753</v>
      </c>
      <c r="H10" s="32" t="s">
        <v>754</v>
      </c>
      <c r="I10" s="32" t="s">
        <v>755</v>
      </c>
      <c r="J10" s="32" t="s">
        <v>756</v>
      </c>
      <c r="K10" s="32" t="s">
        <v>757</v>
      </c>
      <c r="L10" s="32" t="s">
        <v>758</v>
      </c>
    </row>
    <row r="11" customFormat="false" ht="14.4" hidden="false" customHeight="true" outlineLevel="0" collapsed="false">
      <c r="C11" s="33" t="str">
        <f aca="false">""""&amp;D11&amp;E11&amp;F11&amp;""""&amp;IF(ISTEXT(G11),","&amp;""""&amp;G11&amp;"""","")&amp;IF(ISTEXT(H11),","&amp;""""&amp;H11&amp;"""","")&amp;IF(ISTEXT(I11),","&amp;""""&amp;I11&amp;"""","")&amp;IF(ISTEXT(J11),","&amp;""""&amp;J11&amp;"""","")&amp;IF(ISTEXT(K11),","&amp;""""&amp;K11&amp;"""","")&amp;IF(ISTEXT(L11),","&amp;""""&amp;L11&amp;"""","")&amp;"],"</f>
        <v>"AG_Pressure04_P-0-1.5“:[”AG_Pressure01_NA_NA","AG_Pressure02_NA_NA","AG_Pressure03_NA_NA","AG_Pressure04_NA_NA","AG_Pressure05_NA_NA","AG_Pressure06_NA_NA","AG_Pressure07_NA_NA"],</v>
      </c>
      <c r="D11" s="32" t="s">
        <v>450</v>
      </c>
      <c r="E11" s="32" t="s">
        <v>739</v>
      </c>
      <c r="F11" s="32" t="s">
        <v>752</v>
      </c>
      <c r="G11" s="32" t="s">
        <v>753</v>
      </c>
      <c r="H11" s="32" t="s">
        <v>754</v>
      </c>
      <c r="I11" s="32" t="s">
        <v>755</v>
      </c>
      <c r="J11" s="32" t="s">
        <v>756</v>
      </c>
      <c r="K11" s="32" t="s">
        <v>757</v>
      </c>
      <c r="L11" s="32" t="s">
        <v>758</v>
      </c>
    </row>
    <row r="12" customFormat="false" ht="14.4" hidden="false" customHeight="true" outlineLevel="0" collapsed="false">
      <c r="C12" s="33" t="str">
        <f aca="false">""""&amp;D12&amp;E12&amp;F12&amp;""""&amp;IF(ISTEXT(G12),","&amp;""""&amp;G12&amp;"""","")&amp;IF(ISTEXT(H12),","&amp;""""&amp;H12&amp;"""","")&amp;IF(ISTEXT(I12),","&amp;""""&amp;I12&amp;"""","")&amp;IF(ISTEXT(J12),","&amp;""""&amp;J12&amp;"""","")&amp;IF(ISTEXT(K12),","&amp;""""&amp;K12&amp;"""","")&amp;IF(ISTEXT(L12),","&amp;""""&amp;L12&amp;"""","")&amp;"],"</f>
        <v>"AG_Pressure05_P-0-16“:[”AG_Pressure01_NA_NA","AG_Pressure02_NA_NA","AG_Pressure03_NA_NA","AG_Pressure04_NA_NA","AG_Pressure05_NA_NA","AG_Pressure06_NA_NA","AG_Pressure07_NA_NA"],</v>
      </c>
      <c r="D12" s="32" t="s">
        <v>473</v>
      </c>
      <c r="E12" s="32" t="s">
        <v>739</v>
      </c>
      <c r="F12" s="32" t="s">
        <v>752</v>
      </c>
      <c r="G12" s="32" t="s">
        <v>753</v>
      </c>
      <c r="H12" s="32" t="s">
        <v>754</v>
      </c>
      <c r="I12" s="32" t="s">
        <v>755</v>
      </c>
      <c r="J12" s="32" t="s">
        <v>756</v>
      </c>
      <c r="K12" s="32" t="s">
        <v>757</v>
      </c>
      <c r="L12" s="32" t="s">
        <v>758</v>
      </c>
      <c r="M12" s="33"/>
    </row>
    <row r="13" customFormat="false" ht="14.4" hidden="false" customHeight="true" outlineLevel="0" collapsed="false">
      <c r="C13" s="33" t="str">
        <f aca="false">""""&amp;D13&amp;E13&amp;F13&amp;""""&amp;IF(ISTEXT(G13),","&amp;""""&amp;G13&amp;"""","")&amp;IF(ISTEXT(H13),","&amp;""""&amp;H13&amp;"""","")&amp;IF(ISTEXT(I13),","&amp;""""&amp;I13&amp;"""","")&amp;IF(ISTEXT(J13),","&amp;""""&amp;J13&amp;"""","")&amp;IF(ISTEXT(K13),","&amp;""""&amp;K13&amp;"""","")&amp;IF(ISTEXT(L13),","&amp;""""&amp;L13&amp;"""","")&amp;"],"</f>
        <v>"AG_Pressure06_P-0-1.5“:[”AG_Pressure01_NA_NA","AG_Pressure02_NA_NA","AG_Pressure03_NA_NA","AG_Pressure04_NA_NA","AG_Pressure05_NA_NA","AG_Pressure06_NA_NA","AG_Pressure07_NA_NA"],</v>
      </c>
      <c r="D13" s="32" t="s">
        <v>483</v>
      </c>
      <c r="E13" s="32" t="s">
        <v>739</v>
      </c>
      <c r="F13" s="33" t="s">
        <v>752</v>
      </c>
      <c r="G13" s="33" t="s">
        <v>753</v>
      </c>
      <c r="H13" s="33" t="s">
        <v>754</v>
      </c>
      <c r="I13" s="33" t="s">
        <v>755</v>
      </c>
      <c r="J13" s="32" t="s">
        <v>756</v>
      </c>
      <c r="K13" s="32" t="s">
        <v>757</v>
      </c>
      <c r="L13" s="32" t="s">
        <v>758</v>
      </c>
      <c r="M13" s="33"/>
      <c r="N13" s="33"/>
    </row>
    <row r="14" customFormat="false" ht="14.4" hidden="false" customHeight="true" outlineLevel="0" collapsed="false">
      <c r="C14" s="33" t="str">
        <f aca="false">""""&amp;D14&amp;E14&amp;F14&amp;""""&amp;IF(ISTEXT(G14),","&amp;""""&amp;G14&amp;"""","")&amp;IF(ISTEXT(H14),","&amp;""""&amp;H14&amp;"""","")&amp;IF(ISTEXT(I14),","&amp;""""&amp;I14&amp;"""","")&amp;IF(ISTEXT(J14),","&amp;""""&amp;J14&amp;"""","")&amp;IF(ISTEXT(K14),","&amp;""""&amp;K14&amp;"""","")&amp;IF(ISTEXT(L14),","&amp;""""&amp;L14&amp;"""","")&amp;"],"</f>
        <v>"AG_Pressure07_P-0-2“:[”AG_Pressure01_NA_NA","AG_Pressure02_NA_NA","AG_Pressure03_NA_NA","AG_Pressure04_NA_NA","AG_Pressure05_NA_NA","AG_Pressure06_NA_NA","AG_Pressure07_NA_NA"],</v>
      </c>
      <c r="D14" s="32" t="s">
        <v>466</v>
      </c>
      <c r="E14" s="32" t="s">
        <v>739</v>
      </c>
      <c r="F14" s="32" t="s">
        <v>752</v>
      </c>
      <c r="G14" s="32" t="s">
        <v>753</v>
      </c>
      <c r="H14" s="32" t="s">
        <v>754</v>
      </c>
      <c r="I14" s="32" t="s">
        <v>755</v>
      </c>
      <c r="J14" s="32" t="s">
        <v>756</v>
      </c>
      <c r="K14" s="32" t="s">
        <v>757</v>
      </c>
      <c r="L14" s="32" t="s">
        <v>758</v>
      </c>
    </row>
    <row r="15" customFormat="false" ht="14.4" hidden="false" customHeight="true" outlineLevel="0" collapsed="false">
      <c r="C15" s="33" t="str">
        <f aca="false">""""&amp;D15&amp;E15&amp;F15&amp;""""&amp;IF(ISTEXT(G15),","&amp;""""&amp;G15&amp;"""","")&amp;IF(ISTEXT(H15),","&amp;""""&amp;H15&amp;"""","")&amp;IF(ISTEXT(I15),","&amp;""""&amp;I15&amp;"""","")&amp;IF(ISTEXT(J15),","&amp;""""&amp;J15&amp;"""","")&amp;IF(ISTEXT(K15),","&amp;""""&amp;K15&amp;"""","")&amp;IF(ISTEXT(L15),","&amp;""""&amp;L15&amp;"""","")&amp;"],"</f>
        <v>"AG_Temperature_T-0-100“:[”AG_Temperature_NA_NA"],</v>
      </c>
      <c r="D15" s="32" t="s">
        <v>421</v>
      </c>
      <c r="E15" s="32" t="s">
        <v>739</v>
      </c>
      <c r="F15" s="33" t="s">
        <v>759</v>
      </c>
      <c r="G15" s="33"/>
      <c r="H15" s="33"/>
      <c r="I15" s="33"/>
      <c r="J15" s="33"/>
      <c r="K15" s="33"/>
      <c r="L15" s="33"/>
    </row>
    <row r="16" customFormat="false" ht="14.4" hidden="false" customHeight="true" outlineLevel="0" collapsed="false">
      <c r="C16" s="33" t="str">
        <f aca="false">""""&amp;D16&amp;E16&amp;F16&amp;""""&amp;IF(ISTEXT(G16),","&amp;""""&amp;G16&amp;"""","")&amp;IF(ISTEXT(H16),","&amp;""""&amp;H16&amp;"""","")&amp;IF(ISTEXT(I16),","&amp;""""&amp;I16&amp;"""","")&amp;IF(ISTEXT(J16),","&amp;""""&amp;J16&amp;"""","")&amp;IF(ISTEXT(K16),","&amp;""""&amp;K16&amp;"""","")&amp;IF(ISTEXT(L16),","&amp;""""&amp;L16&amp;"""","")&amp;"],"</f>
        <v>"AG_Thermo-hygro“:[”AG_Thermo-hygro_NA_NA"],</v>
      </c>
      <c r="D16" s="32" t="s">
        <v>64</v>
      </c>
      <c r="E16" s="32" t="s">
        <v>739</v>
      </c>
      <c r="F16" s="32" t="s">
        <v>760</v>
      </c>
    </row>
    <row r="17" customFormat="false" ht="14.4" hidden="false" customHeight="true" outlineLevel="0" collapsed="false">
      <c r="C17" s="33" t="str">
        <f aca="false">""""&amp;D17&amp;E17&amp;F17&amp;""""&amp;IF(ISTEXT(G17),","&amp;""""&amp;G17&amp;"""","")&amp;IF(ISTEXT(H17),","&amp;""""&amp;H17&amp;"""","")&amp;IF(ISTEXT(I17),","&amp;""""&amp;I17&amp;"""","")&amp;IF(ISTEXT(J17),","&amp;""""&amp;J17&amp;"""","")&amp;IF(ISTEXT(K17),","&amp;""""&amp;K17&amp;"""","")&amp;IF(ISTEXT(L17),","&amp;""""&amp;L17&amp;"""","")&amp;"],"</f>
        <v>"AG_Voltimeter_V-0-30“:[”AG_Voltimeter_AC_NA"],</v>
      </c>
      <c r="D17" s="32" t="s">
        <v>357</v>
      </c>
      <c r="E17" s="32" t="s">
        <v>739</v>
      </c>
      <c r="F17" s="32" t="s">
        <v>761</v>
      </c>
    </row>
    <row r="18" customFormat="false" ht="14.4" hidden="false" customHeight="true" outlineLevel="0" collapsed="false">
      <c r="C18" s="33" t="str">
        <f aca="false">""""&amp;D18&amp;E18&amp;F18&amp;""""&amp;IF(ISTEXT(G18),","&amp;""""&amp;G18&amp;"""","")&amp;IF(ISTEXT(H18),","&amp;""""&amp;H18&amp;"""","")&amp;IF(ISTEXT(I18),","&amp;""""&amp;I18&amp;"""","")&amp;IF(ISTEXT(J18),","&amp;""""&amp;J18&amp;"""","")&amp;IF(ISTEXT(K18),","&amp;""""&amp;K18&amp;"""","")&amp;IF(ISTEXT(L18),","&amp;""""&amp;L18&amp;"""","")&amp;"],"</f>
        <v>"Class_C-Duct_Clean_ok“:[”Class_C-Duct_Clean_ok"],</v>
      </c>
      <c r="D18" s="32" t="s">
        <v>762</v>
      </c>
      <c r="E18" s="32" t="s">
        <v>739</v>
      </c>
      <c r="F18" s="32" t="s">
        <v>762</v>
      </c>
    </row>
    <row r="19" customFormat="false" ht="14.4" hidden="false" customHeight="true" outlineLevel="0" collapsed="false">
      <c r="C19" s="33" t="str">
        <f aca="false">""""&amp;D19&amp;E19&amp;F19&amp;""""&amp;IF(ISTEXT(G19),","&amp;""""&amp;G19&amp;"""","")&amp;IF(ISTEXT(H19),","&amp;""""&amp;H19&amp;"""","")&amp;IF(ISTEXT(I19),","&amp;""""&amp;I19&amp;"""","")&amp;IF(ISTEXT(J19),","&amp;""""&amp;J19&amp;"""","")&amp;IF(ISTEXT(K19),","&amp;""""&amp;K19&amp;"""","")&amp;IF(ISTEXT(L19),","&amp;""""&amp;L19&amp;"""","")&amp;"],"</f>
        <v>"Class_D-Gen_No-oil_ok“:[”Class_D-Gen_No-oil_ok"],</v>
      </c>
      <c r="D19" s="32" t="s">
        <v>763</v>
      </c>
      <c r="E19" s="32" t="s">
        <v>739</v>
      </c>
      <c r="F19" s="32" t="s">
        <v>763</v>
      </c>
    </row>
    <row r="20" customFormat="false" ht="14.4" hidden="false" customHeight="true" outlineLevel="0" collapsed="false">
      <c r="C20" s="33" t="str">
        <f aca="false">""""&amp;D20&amp;E20&amp;F20&amp;""""&amp;IF(ISTEXT(G20),","&amp;""""&amp;G20&amp;"""","")&amp;IF(ISTEXT(H20),","&amp;""""&amp;H20&amp;"""","")&amp;IF(ISTEXT(I20),","&amp;""""&amp;I20&amp;"""","")&amp;IF(ISTEXT(J20),","&amp;""""&amp;J20&amp;"""","")&amp;IF(ISTEXT(K20),","&amp;""""&amp;K20&amp;"""","")&amp;IF(ISTEXT(L20),","&amp;""""&amp;L20&amp;"""","")&amp;"],"</f>
        <v>"Class_Plumb_Clean_ok“:[”Class_Plumb_Clean_ok"],</v>
      </c>
      <c r="D20" s="32" t="s">
        <v>764</v>
      </c>
      <c r="E20" s="32" t="s">
        <v>739</v>
      </c>
      <c r="F20" s="32" t="s">
        <v>764</v>
      </c>
    </row>
    <row r="21" customFormat="false" ht="14.4" hidden="false" customHeight="true" outlineLevel="0" collapsed="false">
      <c r="C21" s="33" t="str">
        <f aca="false">""""&amp;D21&amp;E21&amp;F21&amp;""""&amp;IF(ISTEXT(G21),","&amp;""""&amp;G21&amp;"""","")&amp;IF(ISTEXT(H21),","&amp;""""&amp;H21&amp;"""","")&amp;IF(ISTEXT(I21),","&amp;""""&amp;I21&amp;"""","")&amp;IF(ISTEXT(J21),","&amp;""""&amp;J21&amp;"""","")&amp;IF(ISTEXT(K21),","&amp;""""&amp;K21&amp;"""","")&amp;IF(ISTEXT(L21),","&amp;""""&amp;L21&amp;"""","")&amp;"],"</f>
        <v>"Class_W-Drains_Clean_ok“:[”Class_W-Drains_Clean_ok"],</v>
      </c>
      <c r="D21" s="32" t="s">
        <v>725</v>
      </c>
      <c r="E21" s="32" t="s">
        <v>739</v>
      </c>
      <c r="F21" s="32" t="s">
        <v>725</v>
      </c>
    </row>
    <row r="22" customFormat="false" ht="14.4" hidden="false" customHeight="true" outlineLevel="0" collapsed="false">
      <c r="C22" s="33" t="str">
        <f aca="false">""""&amp;D22&amp;E22&amp;F22&amp;""""&amp;IF(ISTEXT(G22),","&amp;""""&amp;G22&amp;"""","")&amp;IF(ISTEXT(H22),","&amp;""""&amp;H22&amp;"""","")&amp;IF(ISTEXT(I22),","&amp;""""&amp;I22&amp;"""","")&amp;IF(ISTEXT(J22),","&amp;""""&amp;J22&amp;"""","")&amp;IF(ISTEXT(K22),","&amp;""""&amp;K22&amp;"""","")&amp;IF(ISTEXT(L22),","&amp;""""&amp;L22&amp;"""","")&amp;"],"</f>
        <v>"Class_W-Tank_Gauge_ok“:[”Class_W-Tank_Gauge_ok"],</v>
      </c>
      <c r="D22" s="32" t="s">
        <v>765</v>
      </c>
      <c r="E22" s="32" t="s">
        <v>739</v>
      </c>
      <c r="F22" s="32" t="s">
        <v>765</v>
      </c>
    </row>
    <row r="23" customFormat="false" ht="14.4" hidden="false" customHeight="true" outlineLevel="0" collapsed="false">
      <c r="C23" s="33" t="str">
        <f aca="false">""""&amp;D23&amp;E23&amp;F23&amp;""""&amp;IF(ISTEXT(G23),","&amp;""""&amp;G23&amp;"""","")&amp;IF(ISTEXT(H23),","&amp;""""&amp;H23&amp;"""","")&amp;IF(ISTEXT(I23),","&amp;""""&amp;I23&amp;"""","")&amp;IF(ISTEXT(J23),","&amp;""""&amp;J23&amp;"""","")&amp;IF(ISTEXT(K23),","&amp;""""&amp;K23&amp;"""","")&amp;IF(ISTEXT(L23),","&amp;""""&amp;L23&amp;"""","")&amp;"],"</f>
        <v>"DG_Air-Conditioner“:[”DG_Temp_Air-Conditioner_NA"],</v>
      </c>
      <c r="D23" s="32" t="s">
        <v>43</v>
      </c>
      <c r="E23" s="32" t="s">
        <v>739</v>
      </c>
      <c r="F23" s="32" t="s">
        <v>766</v>
      </c>
    </row>
    <row r="24" customFormat="false" ht="14.4" hidden="false" customHeight="true" outlineLevel="0" collapsed="false">
      <c r="C24" s="33" t="str">
        <f aca="false">""""&amp;D24&amp;E24&amp;F24&amp;""""&amp;IF(ISTEXT(G24),","&amp;""""&amp;G24&amp;"""","")&amp;IF(ISTEXT(H24),","&amp;""""&amp;H24&amp;"""","")&amp;IF(ISTEXT(I24),","&amp;""""&amp;I24&amp;"""","")&amp;IF(ISTEXT(J24),","&amp;""""&amp;J24&amp;"""","")&amp;IF(ISTEXT(K24),","&amp;""""&amp;K24&amp;"""","")&amp;IF(ISTEXT(L24),","&amp;""""&amp;L24&amp;"""","")&amp;"],"</f>
        <v>"DG_BMS“:[”"],</v>
      </c>
      <c r="D24" s="32" t="s">
        <v>59</v>
      </c>
      <c r="E24" s="32" t="s">
        <v>739</v>
      </c>
    </row>
    <row r="25" customFormat="false" ht="14.4" hidden="false" customHeight="true" outlineLevel="0" collapsed="false">
      <c r="C25" s="33" t="str">
        <f aca="false">""""&amp;D25&amp;E25&amp;F25&amp;""""&amp;IF(ISTEXT(G25),","&amp;""""&amp;G25&amp;"""","")&amp;IF(ISTEXT(H25),","&amp;""""&amp;H25&amp;"""","")&amp;IF(ISTEXT(I25),","&amp;""""&amp;I25&amp;"""","")&amp;IF(ISTEXT(J25),","&amp;""""&amp;J25&amp;"""","")&amp;IF(ISTEXT(K25),","&amp;""""&amp;K25&amp;"""","")&amp;IF(ISTEXT(L25),","&amp;""""&amp;L25&amp;"""","")&amp;"],"</f>
        <v>"DG_Boost-pump“:[”DG_Boost-pump_bar_NA"],</v>
      </c>
      <c r="D25" s="32" t="s">
        <v>485</v>
      </c>
      <c r="E25" s="32" t="s">
        <v>739</v>
      </c>
      <c r="F25" s="32" t="s">
        <v>767</v>
      </c>
    </row>
    <row r="26" customFormat="false" ht="14.4" hidden="false" customHeight="true" outlineLevel="0" collapsed="false">
      <c r="C26" s="33" t="str">
        <f aca="false">""""&amp;D26&amp;E26&amp;F26&amp;""""&amp;IF(ISTEXT(G26),","&amp;""""&amp;G26&amp;"""","")&amp;IF(ISTEXT(H26),","&amp;""""&amp;H26&amp;"""","")&amp;IF(ISTEXT(I26),","&amp;""""&amp;I26&amp;"""","")&amp;IF(ISTEXT(J26),","&amp;""""&amp;J26&amp;"""","")&amp;IF(ISTEXT(K26),","&amp;""""&amp;K26&amp;"""","")&amp;IF(ISTEXT(L26),","&amp;""""&amp;L26&amp;"""","")&amp;"],"</f>
        <v>"DG_Digital_Integrated_Meter“:[”DG_Va-Ia-P-UH_V-A-P-Mwh_NA"],</v>
      </c>
      <c r="D26" s="32" t="s">
        <v>768</v>
      </c>
      <c r="E26" s="32" t="s">
        <v>739</v>
      </c>
      <c r="F26" s="32" t="s">
        <v>769</v>
      </c>
    </row>
    <row r="27" customFormat="false" ht="14.4" hidden="false" customHeight="true" outlineLevel="0" collapsed="false">
      <c r="C27" s="33" t="str">
        <f aca="false">""""&amp;D27&amp;E27&amp;F27&amp;""""&amp;IF(ISTEXT(G27),","&amp;""""&amp;G27&amp;"""","")&amp;IF(ISTEXT(H27),","&amp;""""&amp;H27&amp;"""","")&amp;IF(ISTEXT(I27),","&amp;""""&amp;I27&amp;"""","")&amp;IF(ISTEXT(J27),","&amp;""""&amp;J27&amp;"""","")&amp;IF(ISTEXT(K27),","&amp;""""&amp;K27&amp;"""","")&amp;IF(ISTEXT(L27),","&amp;""""&amp;L27&amp;"""","")&amp;"],"</f>
        <v>"DG_Digital_Meter“:[”DG_VAP_Meter_NA"],</v>
      </c>
      <c r="D27" s="32" t="s">
        <v>770</v>
      </c>
      <c r="E27" s="32" t="s">
        <v>739</v>
      </c>
      <c r="F27" s="32" t="s">
        <v>771</v>
      </c>
    </row>
    <row r="28" customFormat="false" ht="14.4" hidden="false" customHeight="true" outlineLevel="0" collapsed="false">
      <c r="C28" s="33" t="str">
        <f aca="false">""""&amp;D28&amp;E28&amp;F28&amp;""""&amp;IF(ISTEXT(G28),","&amp;""""&amp;G28&amp;"""","")&amp;IF(ISTEXT(H28),","&amp;""""&amp;H28&amp;"""","")&amp;IF(ISTEXT(I28),","&amp;""""&amp;I28&amp;"""","")&amp;IF(ISTEXT(J28),","&amp;""""&amp;J28&amp;"""","")&amp;IF(ISTEXT(K28),","&amp;""""&amp;K28&amp;"""","")&amp;IF(ISTEXT(L28),","&amp;""""&amp;L28&amp;"""","")&amp;"],"</f>
        <v>"DG_UPS-600KVA“:[”DG_VA_NA_NA"],</v>
      </c>
      <c r="D28" s="32" t="s">
        <v>588</v>
      </c>
      <c r="E28" s="32" t="s">
        <v>739</v>
      </c>
      <c r="F28" s="32" t="s">
        <v>772</v>
      </c>
    </row>
    <row r="29" customFormat="false" ht="14.4" hidden="false" customHeight="true" outlineLevel="0" collapsed="false">
      <c r="C29" s="33" t="str">
        <f aca="false">""""&amp;D29&amp;E29&amp;F29&amp;""""&amp;IF(ISTEXT(G29),","&amp;""""&amp;G29&amp;"""","")&amp;IF(ISTEXT(H29),","&amp;""""&amp;H29&amp;"""","")&amp;IF(ISTEXT(I29),","&amp;""""&amp;I29&amp;"""","")&amp;IF(ISTEXT(J29),","&amp;""""&amp;J29&amp;"""","")&amp;IF(ISTEXT(K29),","&amp;""""&amp;K29&amp;"""","")&amp;IF(ISTEXT(L29),","&amp;""""&amp;L29&amp;"""","")&amp;"],"</f>
        <v>"DG_Electric-Water-Heater“:[”DG_Heater_Temp_NA"],</v>
      </c>
      <c r="D29" s="32" t="s">
        <v>407</v>
      </c>
      <c r="E29" s="32" t="s">
        <v>739</v>
      </c>
      <c r="F29" s="32" t="s">
        <v>773</v>
      </c>
    </row>
    <row r="30" customFormat="false" ht="14.4" hidden="false" customHeight="true" outlineLevel="0" collapsed="false">
      <c r="C30" s="33" t="str">
        <f aca="false">""""&amp;D30&amp;E30&amp;F30&amp;""""&amp;IF(ISTEXT(G30),","&amp;""""&amp;G30&amp;"""","")&amp;IF(ISTEXT(H30),","&amp;""""&amp;H30&amp;"""","")&amp;IF(ISTEXT(I30),","&amp;""""&amp;I30&amp;"""","")&amp;IF(ISTEXT(J30),","&amp;""""&amp;J30&amp;"""","")&amp;IF(ISTEXT(K30),","&amp;""""&amp;K30&amp;"""","")&amp;IF(ISTEXT(L30),","&amp;""""&amp;L30&amp;"""","")&amp;"],"</f>
        <v>"DG_Gen-Status“:[”DG_Gen-Status_Alt-Eng_NA"],</v>
      </c>
      <c r="D30" s="32" t="s">
        <v>343</v>
      </c>
      <c r="E30" s="32" t="s">
        <v>739</v>
      </c>
      <c r="F30" s="32" t="s">
        <v>774</v>
      </c>
    </row>
    <row r="31" customFormat="false" ht="14.4" hidden="false" customHeight="true" outlineLevel="0" collapsed="false">
      <c r="C31" s="33" t="str">
        <f aca="false">""""&amp;D31&amp;E31&amp;F31&amp;""""&amp;IF(ISTEXT(G31),","&amp;""""&amp;G31&amp;"""","")&amp;IF(ISTEXT(H31),","&amp;""""&amp;H31&amp;"""","")&amp;IF(ISTEXT(I31),","&amp;""""&amp;I31&amp;"""","")&amp;IF(ISTEXT(J31),","&amp;""""&amp;J31&amp;"""","")&amp;IF(ISTEXT(K31),","&amp;""""&amp;K31&amp;"""","")&amp;IF(ISTEXT(L31),","&amp;""""&amp;L31&amp;"""","")&amp;"],"</f>
        <v>"DG_PB_max“:[”DG_PB-Demend_R_NA"],</v>
      </c>
      <c r="D31" s="32" t="s">
        <v>775</v>
      </c>
      <c r="E31" s="32" t="s">
        <v>739</v>
      </c>
      <c r="F31" s="32" t="s">
        <v>776</v>
      </c>
    </row>
    <row r="32" customFormat="false" ht="14.4" hidden="false" customHeight="true" outlineLevel="0" collapsed="false">
      <c r="C32" s="33" t="str">
        <f aca="false">""""&amp;D32&amp;E32&amp;F32&amp;""""&amp;IF(ISTEXT(G32),","&amp;""""&amp;G32&amp;"""","")&amp;IF(ISTEXT(H32),","&amp;""""&amp;H32&amp;"""","")&amp;IF(ISTEXT(I32),","&amp;""""&amp;I32&amp;"""","")&amp;IF(ISTEXT(J32),","&amp;""""&amp;J32&amp;"""","")&amp;IF(ISTEXT(K32),","&amp;""""&amp;K32&amp;"""","")&amp;IF(ISTEXT(L32),","&amp;""""&amp;L32&amp;"""","")&amp;"],"</f>
        <v>"DG_Pump“:[”DG_Pump_ME_NA"],</v>
      </c>
      <c r="D32" s="32" t="s">
        <v>511</v>
      </c>
      <c r="E32" s="32" t="s">
        <v>739</v>
      </c>
      <c r="F32" s="32" t="s">
        <v>777</v>
      </c>
    </row>
    <row r="33" customFormat="false" ht="14.4" hidden="false" customHeight="true" outlineLevel="0" collapsed="false">
      <c r="C33" s="33" t="str">
        <f aca="false">""""&amp;D33&amp;E33&amp;F33&amp;""""&amp;IF(ISTEXT(G33),","&amp;""""&amp;G33&amp;"""","")&amp;IF(ISTEXT(H33),","&amp;""""&amp;H33&amp;"""","")&amp;IF(ISTEXT(I33),","&amp;""""&amp;I33&amp;"""","")&amp;IF(ISTEXT(J33),","&amp;""""&amp;J33&amp;"""","")&amp;IF(ISTEXT(K33),","&amp;""""&amp;K33&amp;"""","")&amp;IF(ISTEXT(L33),","&amp;""""&amp;L33&amp;"""","")&amp;"],"</f>
        <v>"DG_Thermo-hygro“:[”DG_Temp-Humi01_C-per_NA","DG_Temp-Humi02_C-per_NA"],</v>
      </c>
      <c r="D33" s="32" t="s">
        <v>327</v>
      </c>
      <c r="E33" s="32" t="s">
        <v>739</v>
      </c>
      <c r="F33" s="32" t="s">
        <v>778</v>
      </c>
      <c r="G33" s="32" t="s">
        <v>779</v>
      </c>
    </row>
    <row r="34" customFormat="false" ht="14.4" hidden="false" customHeight="true" outlineLevel="0" collapsed="false">
      <c r="C34" s="33" t="str">
        <f aca="false">""""&amp;D34&amp;E34&amp;F34&amp;""""&amp;IF(ISTEXT(G34),","&amp;""""&amp;G34&amp;"""","")&amp;IF(ISTEXT(H34),","&amp;""""&amp;H34&amp;"""","")&amp;IF(ISTEXT(I34),","&amp;""""&amp;I34&amp;"""","")&amp;IF(ISTEXT(J34),","&amp;""""&amp;J34&amp;"""","")&amp;IF(ISTEXT(K34),","&amp;""""&amp;K34&amp;"""","")&amp;IF(ISTEXT(L34),","&amp;""""&amp;L34&amp;"""","")&amp;"],"</f>
        <v>"DG_TR_temp“:[”DG_Tr-Temp_C_NA","DG_Pump_ME_NA"],</v>
      </c>
      <c r="D34" s="32" t="s">
        <v>780</v>
      </c>
      <c r="E34" s="32" t="s">
        <v>739</v>
      </c>
      <c r="F34" s="32" t="s">
        <v>781</v>
      </c>
      <c r="G34" s="32" t="s">
        <v>777</v>
      </c>
    </row>
    <row r="35" customFormat="false" ht="14.4" hidden="false" customHeight="true" outlineLevel="0" collapsed="false">
      <c r="C35" s="33" t="str">
        <f aca="false">""""&amp;D35&amp;E35&amp;F35&amp;""""&amp;IF(ISTEXT(G35),","&amp;""""&amp;G35&amp;"""","")&amp;IF(ISTEXT(H35),","&amp;""""&amp;H35&amp;"""","")&amp;IF(ISTEXT(I35),","&amp;""""&amp;I35&amp;"""","")&amp;IF(ISTEXT(J35),","&amp;""""&amp;J35&amp;"""","")&amp;IF(ISTEXT(K35),","&amp;""""&amp;K35&amp;"""","")&amp;IF(ISTEXT(L35),","&amp;""""&amp;L35&amp;"""","")&amp;"],"</f>
        <v>"DG_UPS_100KVA“:[”DG_RST-RST_VVV-VVV-AAA_NA"],</v>
      </c>
      <c r="D35" s="32" t="s">
        <v>782</v>
      </c>
      <c r="E35" s="32" t="s">
        <v>739</v>
      </c>
      <c r="F35" s="32" t="s">
        <v>783</v>
      </c>
    </row>
    <row r="36" customFormat="false" ht="14.4" hidden="false" customHeight="true" outlineLevel="0" collapsed="false">
      <c r="C36" s="33" t="str">
        <f aca="false">""""&amp;D36&amp;E36&amp;F36&amp;""""&amp;IF(ISTEXT(G36),","&amp;""""&amp;G36&amp;"""","")&amp;IF(ISTEXT(H36),","&amp;""""&amp;H36&amp;"""","")&amp;IF(ISTEXT(I36),","&amp;""""&amp;I36&amp;"""","")&amp;IF(ISTEXT(J36),","&amp;""""&amp;J36&amp;"""","")&amp;IF(ISTEXT(K36),","&amp;""""&amp;K36&amp;"""","")&amp;IF(ISTEXT(L36),","&amp;""""&amp;L36&amp;"""","")&amp;"],"</f>
        <v>"DG_UPS_600KVA“:[”DG_VA_NA_NA"],</v>
      </c>
      <c r="D36" s="32" t="s">
        <v>784</v>
      </c>
      <c r="E36" s="32" t="s">
        <v>739</v>
      </c>
      <c r="F36" s="32" t="s">
        <v>772</v>
      </c>
    </row>
    <row r="37" customFormat="false" ht="14.4" hidden="false" customHeight="true" outlineLevel="0" collapsed="false">
      <c r="C37" s="33" t="str">
        <f aca="false">""""&amp;D37&amp;E37&amp;F37&amp;""""&amp;IF(ISTEXT(G37),","&amp;""""&amp;G37&amp;"""","")&amp;IF(ISTEXT(H37),","&amp;""""&amp;H37&amp;"""","")&amp;IF(ISTEXT(I37),","&amp;""""&amp;I37&amp;"""","")&amp;IF(ISTEXT(J37),","&amp;""""&amp;J37&amp;"""","")&amp;IF(ISTEXT(K37),","&amp;""""&amp;K37&amp;"""","")&amp;IF(ISTEXT(L37),","&amp;""""&amp;L37&amp;"""","")&amp;"],"</f>
        <v>"ETC_Fire_Extinguisher“:[”Etc_Fire-Extinguisher_NA_NA"],</v>
      </c>
      <c r="D37" s="32" t="s">
        <v>24</v>
      </c>
      <c r="E37" s="32" t="s">
        <v>739</v>
      </c>
      <c r="F37" s="32" t="s">
        <v>785</v>
      </c>
    </row>
    <row r="38" customFormat="false" ht="14.4" hidden="false" customHeight="true" outlineLevel="0" collapsed="false">
      <c r="C38" s="33" t="str">
        <f aca="false">""""&amp;D38&amp;E38&amp;F38&amp;""""&amp;IF(ISTEXT(G38),","&amp;""""&amp;G38&amp;"""","")&amp;IF(ISTEXT(H38),","&amp;""""&amp;H38&amp;"""","")&amp;IF(ISTEXT(I38),","&amp;""""&amp;I38&amp;"""","")&amp;IF(ISTEXT(J38),","&amp;""""&amp;J38&amp;"""","")&amp;IF(ISTEXT(K38),","&amp;""""&amp;K38&amp;"""","")&amp;IF(ISTEXT(L38),","&amp;""""&amp;L38&amp;"""","")&amp;"],"</f>
        <v>"ETC_Fire_Hydrant-sign“:[”Etc_Fire-Hydrant-sign_NA_NA"],</v>
      </c>
      <c r="D38" s="32" t="s">
        <v>31</v>
      </c>
      <c r="E38" s="32" t="s">
        <v>739</v>
      </c>
      <c r="F38" s="32" t="s">
        <v>786</v>
      </c>
    </row>
    <row r="39" customFormat="false" ht="14.4" hidden="false" customHeight="true" outlineLevel="0" collapsed="false">
      <c r="C39" s="33" t="str">
        <f aca="false">""""&amp;D39&amp;E39&amp;F39&amp;""""&amp;IF(ISTEXT(G39),","&amp;""""&amp;G39&amp;"""","")&amp;IF(ISTEXT(H39),","&amp;""""&amp;H39&amp;"""","")&amp;IF(ISTEXT(I39),","&amp;""""&amp;I39&amp;"""","")&amp;IF(ISTEXT(J39),","&amp;""""&amp;J39&amp;"""","")&amp;IF(ISTEXT(K39),","&amp;""""&amp;K39&amp;"""","")&amp;IF(ISTEXT(L39),","&amp;""""&amp;L39&amp;"""","")&amp;"],"</f>
        <v>"Class_Outlet“:[”Etc_Outlet_No-plug_ok"],</v>
      </c>
      <c r="D39" s="32" t="s">
        <v>293</v>
      </c>
      <c r="E39" s="32" t="s">
        <v>739</v>
      </c>
      <c r="F39" s="32" t="s">
        <v>787</v>
      </c>
    </row>
    <row r="40" customFormat="false" ht="14.4" hidden="false" customHeight="true" outlineLevel="0" collapsed="false">
      <c r="C40" s="33" t="str">
        <f aca="false">""""&amp;D40&amp;E40&amp;F40&amp;""""&amp;IF(ISTEXT(G40),","&amp;""""&amp;G40&amp;"""","")&amp;IF(ISTEXT(H40),","&amp;""""&amp;H40&amp;"""","")&amp;IF(ISTEXT(I40),","&amp;""""&amp;I40&amp;"""","")&amp;IF(ISTEXT(J40),","&amp;""""&amp;J40&amp;"""","")&amp;IF(ISTEXT(K40),","&amp;""""&amp;K40&amp;"""","")&amp;IF(ISTEXT(L40),","&amp;""""&amp;L40&amp;"""","")&amp;"],"</f>
        <v>"LED_DELD_run-on“:[”LED_Leakage_Green-on_ok","LED_DELD_run-on_nok"],</v>
      </c>
      <c r="D40" s="32" t="s">
        <v>788</v>
      </c>
      <c r="E40" s="32" t="s">
        <v>739</v>
      </c>
      <c r="F40" s="32" t="s">
        <v>789</v>
      </c>
      <c r="G40" s="32" t="s">
        <v>790</v>
      </c>
    </row>
    <row r="41" customFormat="false" ht="14.4" hidden="false" customHeight="true" outlineLevel="0" collapsed="false">
      <c r="C41" s="33" t="str">
        <f aca="false">""""&amp;D41&amp;E41&amp;F41&amp;""""&amp;IF(ISTEXT(G41),","&amp;""""&amp;G41&amp;"""","")&amp;IF(ISTEXT(H41),","&amp;""""&amp;H41&amp;"""","")&amp;IF(ISTEXT(I41),","&amp;""""&amp;I41&amp;"""","")&amp;IF(ISTEXT(J41),","&amp;""""&amp;J41&amp;"""","")&amp;IF(ISTEXT(K41),","&amp;""""&amp;K41&amp;"""","")&amp;IF(ISTEXT(L41),","&amp;""""&amp;L41&amp;"""","")&amp;"],"</f>
        <v>"LED_DMFR_run-on“:[”LED_DMFR_Run-on_ok","LED_DMFR_run-on_nok"],</v>
      </c>
      <c r="D41" s="32" t="s">
        <v>106</v>
      </c>
      <c r="E41" s="32" t="s">
        <v>739</v>
      </c>
      <c r="F41" s="32" t="s">
        <v>791</v>
      </c>
      <c r="G41" s="32" t="s">
        <v>792</v>
      </c>
    </row>
    <row r="42" customFormat="false" ht="14.4" hidden="false" customHeight="true" outlineLevel="0" collapsed="false">
      <c r="C42" s="33" t="str">
        <f aca="false">""""&amp;D42&amp;E42&amp;F42&amp;""""&amp;IF(ISTEXT(G42),","&amp;""""&amp;G42&amp;"""","")&amp;IF(ISTEXT(H42),","&amp;""""&amp;H42&amp;"""","")&amp;IF(ISTEXT(I42),","&amp;""""&amp;I42&amp;"""","")&amp;IF(ISTEXT(J42),","&amp;""""&amp;J42&amp;"""","")&amp;IF(ISTEXT(K42),","&amp;""""&amp;K42&amp;"""","")&amp;IF(ISTEXT(L42),","&amp;""""&amp;L42&amp;"""","")&amp;"],"</f>
        <v>"LED_Controller“:[”"],</v>
      </c>
      <c r="D42" s="35" t="s">
        <v>618</v>
      </c>
      <c r="E42" s="32" t="s">
        <v>739</v>
      </c>
    </row>
    <row r="43" customFormat="false" ht="14.4" hidden="false" customHeight="true" outlineLevel="0" collapsed="false">
      <c r="C43" s="33" t="str">
        <f aca="false">""""&amp;D43&amp;E43&amp;F43&amp;""""&amp;IF(ISTEXT(G43),","&amp;""""&amp;G43&amp;"""","")&amp;IF(ISTEXT(H43),","&amp;""""&amp;H43&amp;"""","")&amp;IF(ISTEXT(I43),","&amp;""""&amp;I43&amp;"""","")&amp;IF(ISTEXT(J43),","&amp;""""&amp;J43&amp;"""","")&amp;IF(ISTEXT(K43),","&amp;""""&amp;K43&amp;"""","")&amp;IF(ISTEXT(L43),","&amp;""""&amp;L43&amp;"""","")&amp;"],"</f>
        <v>"LED_Green“:[”LED_Green_off_nok","LED_Green_off_ok","LED_Green_on_nok","LED_Green_on_ok"],</v>
      </c>
      <c r="D43" s="32" t="s">
        <v>526</v>
      </c>
      <c r="E43" s="32" t="s">
        <v>739</v>
      </c>
      <c r="F43" s="32" t="s">
        <v>793</v>
      </c>
      <c r="G43" s="32" t="s">
        <v>794</v>
      </c>
      <c r="H43" s="32" t="s">
        <v>795</v>
      </c>
      <c r="I43" s="32" t="s">
        <v>796</v>
      </c>
    </row>
    <row r="44" customFormat="false" ht="14.4" hidden="false" customHeight="true" outlineLevel="0" collapsed="false">
      <c r="C44" s="33" t="str">
        <f aca="false">""""&amp;D44&amp;E44&amp;F44&amp;""""&amp;IF(ISTEXT(G44),","&amp;""""&amp;G44&amp;"""","")&amp;IF(ISTEXT(H44),","&amp;""""&amp;H44&amp;"""","")&amp;IF(ISTEXT(I44),","&amp;""""&amp;I44&amp;"""","")&amp;IF(ISTEXT(J44),","&amp;""""&amp;J44&amp;"""","")&amp;IF(ISTEXT(K44),","&amp;""""&amp;K44&amp;"""","")&amp;IF(ISTEXT(L44),","&amp;""""&amp;L44&amp;"""","")&amp;"],"</f>
        <v>"LED_Green_off“:[”LED_Green_off_nok","LED_Green_off_ok"],</v>
      </c>
      <c r="D44" s="32" t="s">
        <v>77</v>
      </c>
      <c r="E44" s="32" t="s">
        <v>739</v>
      </c>
      <c r="F44" s="32" t="s">
        <v>793</v>
      </c>
      <c r="G44" s="32" t="s">
        <v>794</v>
      </c>
    </row>
    <row r="45" customFormat="false" ht="14.4" hidden="false" customHeight="true" outlineLevel="0" collapsed="false">
      <c r="C45" s="33" t="str">
        <f aca="false">""""&amp;D45&amp;E45&amp;F45&amp;""""&amp;IF(ISTEXT(G45),","&amp;""""&amp;G45&amp;"""","")&amp;IF(ISTEXT(H45),","&amp;""""&amp;H45&amp;"""","")&amp;IF(ISTEXT(I45),","&amp;""""&amp;I45&amp;"""","")&amp;IF(ISTEXT(J45),","&amp;""""&amp;J45&amp;"""","")&amp;IF(ISTEXT(K45),","&amp;""""&amp;K45&amp;"""","")&amp;IF(ISTEXT(L45),","&amp;""""&amp;L45&amp;"""","")&amp;"],"</f>
        <v>"LED_Green_on“:[”LED_Green_on_nok","LED_Green_on_ok"],</v>
      </c>
      <c r="D45" s="32" t="s">
        <v>608</v>
      </c>
      <c r="E45" s="32" t="s">
        <v>739</v>
      </c>
      <c r="F45" s="32" t="s">
        <v>795</v>
      </c>
      <c r="G45" s="32" t="s">
        <v>796</v>
      </c>
    </row>
    <row r="46" customFormat="false" ht="14.4" hidden="false" customHeight="true" outlineLevel="0" collapsed="false">
      <c r="C46" s="33" t="str">
        <f aca="false">""""&amp;D46&amp;E46&amp;F46&amp;""""&amp;IF(ISTEXT(G46),","&amp;""""&amp;G46&amp;"""","")&amp;IF(ISTEXT(H46),","&amp;""""&amp;H46&amp;"""","")&amp;IF(ISTEXT(I46),","&amp;""""&amp;I46&amp;"""","")&amp;IF(ISTEXT(J46),","&amp;""""&amp;J46&amp;"""","")&amp;IF(ISTEXT(K46),","&amp;""""&amp;K46&amp;"""","")&amp;IF(ISTEXT(L46),","&amp;""""&amp;L46&amp;"""","")&amp;"],"</f>
        <v>"LED_Green-dot“:[”LED_Green-dot_off_nok","LED_Green-dot_off_ok"," LED_Green-dot_on_nok","LED_Green-dot_on_ok"],</v>
      </c>
      <c r="D46" s="32" t="s">
        <v>659</v>
      </c>
      <c r="E46" s="32" t="s">
        <v>739</v>
      </c>
      <c r="F46" s="32" t="s">
        <v>797</v>
      </c>
      <c r="G46" s="32" t="s">
        <v>798</v>
      </c>
      <c r="H46" s="32" t="s">
        <v>799</v>
      </c>
      <c r="I46" s="32" t="s">
        <v>800</v>
      </c>
    </row>
    <row r="47" customFormat="false" ht="14.4" hidden="false" customHeight="true" outlineLevel="0" collapsed="false">
      <c r="C47" s="33" t="str">
        <f aca="false">""""&amp;D47&amp;E47&amp;F47&amp;""""&amp;IF(ISTEXT(G47),","&amp;""""&amp;G47&amp;"""","")&amp;IF(ISTEXT(H47),","&amp;""""&amp;H47&amp;"""","")&amp;IF(ISTEXT(I47),","&amp;""""&amp;I47&amp;"""","")&amp;IF(ISTEXT(J47),","&amp;""""&amp;J47&amp;"""","")&amp;IF(ISTEXT(K47),","&amp;""""&amp;K47&amp;"""","")&amp;IF(ISTEXT(L47),","&amp;""""&amp;L47&amp;"""","")&amp;"],"</f>
        <v>"LED_Green-dot_off“:[”LED_Green-dot_off_nok","LED_Green-dot_off_ok"],</v>
      </c>
      <c r="D47" s="32" t="s">
        <v>609</v>
      </c>
      <c r="E47" s="32" t="s">
        <v>739</v>
      </c>
      <c r="F47" s="32" t="s">
        <v>797</v>
      </c>
      <c r="G47" s="32" t="s">
        <v>798</v>
      </c>
    </row>
    <row r="48" customFormat="false" ht="14.4" hidden="false" customHeight="true" outlineLevel="0" collapsed="false">
      <c r="C48" s="33" t="str">
        <f aca="false">""""&amp;D48&amp;E48&amp;F48&amp;""""&amp;IF(ISTEXT(G48),","&amp;""""&amp;G48&amp;"""","")&amp;IF(ISTEXT(H48),","&amp;""""&amp;H48&amp;"""","")&amp;IF(ISTEXT(I48),","&amp;""""&amp;I48&amp;"""","")&amp;IF(ISTEXT(J48),","&amp;""""&amp;J48&amp;"""","")&amp;IF(ISTEXT(K48),","&amp;""""&amp;K48&amp;"""","")&amp;IF(ISTEXT(L48),","&amp;""""&amp;L48&amp;"""","")&amp;"],"</f>
        <v>"LED_Green-dot_on“:[”LED_Green-dot_on_nok","LED_Green-dot_on_ok"],</v>
      </c>
      <c r="D48" s="32" t="s">
        <v>94</v>
      </c>
      <c r="E48" s="32" t="s">
        <v>739</v>
      </c>
      <c r="F48" s="33" t="s">
        <v>801</v>
      </c>
      <c r="G48" s="33" t="s">
        <v>800</v>
      </c>
      <c r="H48" s="33"/>
      <c r="I48" s="33"/>
      <c r="J48" s="33"/>
      <c r="K48" s="33"/>
      <c r="L48" s="33"/>
    </row>
    <row r="49" customFormat="false" ht="14.4" hidden="false" customHeight="true" outlineLevel="0" collapsed="false">
      <c r="C49" s="33" t="str">
        <f aca="false">""""&amp;D49&amp;E49&amp;F49&amp;""""&amp;IF(ISTEXT(G49),","&amp;""""&amp;G49&amp;"""","")&amp;IF(ISTEXT(H49),","&amp;""""&amp;H49&amp;"""","")&amp;IF(ISTEXT(I49),","&amp;""""&amp;I49&amp;"""","")&amp;IF(ISTEXT(J49),","&amp;""""&amp;J49&amp;"""","")&amp;IF(ISTEXT(K49),","&amp;""""&amp;K49&amp;"""","")&amp;IF(ISTEXT(L49),","&amp;""""&amp;L49&amp;"""","")&amp;"],"</f>
        <v>"LED_Panel“:[”LED_Panel_off_ok","LED_Panel_off_nok","LED_Panel_on_ok","LED_Panel_on_nok"],</v>
      </c>
      <c r="D49" s="32" t="s">
        <v>680</v>
      </c>
      <c r="E49" s="32" t="s">
        <v>739</v>
      </c>
      <c r="F49" s="32" t="s">
        <v>802</v>
      </c>
      <c r="G49" s="32" t="s">
        <v>803</v>
      </c>
      <c r="H49" s="32" t="s">
        <v>804</v>
      </c>
      <c r="I49" s="32" t="s">
        <v>805</v>
      </c>
    </row>
    <row r="50" customFormat="false" ht="14.4" hidden="false" customHeight="true" outlineLevel="0" collapsed="false">
      <c r="C50" s="33" t="str">
        <f aca="false">""""&amp;D50&amp;E50&amp;F50&amp;""""&amp;IF(ISTEXT(G50),","&amp;""""&amp;G50&amp;"""","")&amp;IF(ISTEXT(H50),","&amp;""""&amp;H50&amp;"""","")&amp;IF(ISTEXT(I50),","&amp;""""&amp;I50&amp;"""","")&amp;IF(ISTEXT(J50),","&amp;""""&amp;J50&amp;"""","")&amp;IF(ISTEXT(K50),","&amp;""""&amp;K50&amp;"""","")&amp;IF(ISTEXT(L50),","&amp;""""&amp;L50&amp;"""","")&amp;"],"</f>
        <v>"LED_Panel_off“:[”LED_Panel_off_ok","LED_Panel_off_nok"],</v>
      </c>
      <c r="D50" s="32" t="s">
        <v>84</v>
      </c>
      <c r="E50" s="32" t="s">
        <v>739</v>
      </c>
      <c r="F50" s="32" t="s">
        <v>802</v>
      </c>
      <c r="G50" s="32" t="s">
        <v>803</v>
      </c>
    </row>
    <row r="51" customFormat="false" ht="14.4" hidden="false" customHeight="true" outlineLevel="0" collapsed="false">
      <c r="C51" s="33" t="str">
        <f aca="false">""""&amp;D51&amp;E51&amp;F51&amp;""""&amp;IF(ISTEXT(G51),","&amp;""""&amp;G51&amp;"""","")&amp;IF(ISTEXT(H51),","&amp;""""&amp;H51&amp;"""","")&amp;IF(ISTEXT(I51),","&amp;""""&amp;I51&amp;"""","")&amp;IF(ISTEXT(J51),","&amp;""""&amp;J51&amp;"""","")&amp;IF(ISTEXT(K51),","&amp;""""&amp;K51&amp;"""","")&amp;IF(ISTEXT(L51),","&amp;""""&amp;L51&amp;"""","")&amp;"],"</f>
        <v>"LED_Panel_on“:[”LED_Panel_on_ok","LED_Panel_on_nok"],</v>
      </c>
      <c r="D51" s="32" t="s">
        <v>614</v>
      </c>
      <c r="E51" s="32" t="s">
        <v>739</v>
      </c>
      <c r="F51" s="32" t="s">
        <v>804</v>
      </c>
      <c r="G51" s="32" t="s">
        <v>805</v>
      </c>
    </row>
    <row r="52" customFormat="false" ht="14.4" hidden="false" customHeight="true" outlineLevel="0" collapsed="false">
      <c r="C52" s="33" t="str">
        <f aca="false">""""&amp;D52&amp;E52&amp;F52&amp;""""&amp;IF(ISTEXT(G52),","&amp;""""&amp;G52&amp;"""","")&amp;IF(ISTEXT(H52),","&amp;""""&amp;H52&amp;"""","")&amp;IF(ISTEXT(I52),","&amp;""""&amp;I52&amp;"""","")&amp;IF(ISTEXT(J52),","&amp;""""&amp;J52&amp;"""","")&amp;IF(ISTEXT(K52),","&amp;""""&amp;K52&amp;"""","")&amp;IF(ISTEXT(L52),","&amp;""""&amp;L52&amp;"""","")&amp;"],"</f>
        <v>"LED_Panel-green-dot“:[”LED_Panel-green-dot_on_ok","LED_Panel-green-dot_on_nok"," LED_Panel-green-dot_off_ok","LED_Panel-green-dot_off_nok"],</v>
      </c>
      <c r="D52" s="32" t="s">
        <v>672</v>
      </c>
      <c r="E52" s="32" t="s">
        <v>739</v>
      </c>
      <c r="F52" s="32" t="s">
        <v>806</v>
      </c>
      <c r="G52" s="32" t="s">
        <v>807</v>
      </c>
      <c r="H52" s="32" t="s">
        <v>808</v>
      </c>
      <c r="I52" s="32" t="s">
        <v>809</v>
      </c>
    </row>
    <row r="53" customFormat="false" ht="14.4" hidden="false" customHeight="true" outlineLevel="0" collapsed="false">
      <c r="C53" s="33" t="str">
        <f aca="false">""""&amp;D53&amp;E53&amp;F53&amp;""""&amp;IF(ISTEXT(G53),","&amp;""""&amp;G53&amp;"""","")&amp;IF(ISTEXT(H53),","&amp;""""&amp;H53&amp;"""","")&amp;IF(ISTEXT(I53),","&amp;""""&amp;I53&amp;"""","")&amp;IF(ISTEXT(J53),","&amp;""""&amp;J53&amp;"""","")&amp;IF(ISTEXT(K53),","&amp;""""&amp;K53&amp;"""","")&amp;IF(ISTEXT(L53),","&amp;""""&amp;L53&amp;"""","")&amp;"],"</f>
        <v>"LED_Panel-green-dot_off“:[”LED_Panel-green-dot_off_ok","LED_Panel-green-dot_off_nok"],</v>
      </c>
      <c r="D53" s="32" t="s">
        <v>181</v>
      </c>
      <c r="E53" s="32" t="s">
        <v>739</v>
      </c>
      <c r="F53" s="32" t="s">
        <v>810</v>
      </c>
      <c r="G53" s="32" t="s">
        <v>809</v>
      </c>
    </row>
    <row r="54" customFormat="false" ht="14.4" hidden="false" customHeight="true" outlineLevel="0" collapsed="false">
      <c r="C54" s="33" t="str">
        <f aca="false">""""&amp;D54&amp;E54&amp;F54&amp;""""&amp;IF(ISTEXT(G54),","&amp;""""&amp;G54&amp;"""","")&amp;IF(ISTEXT(H54),","&amp;""""&amp;H54&amp;"""","")&amp;IF(ISTEXT(I54),","&amp;""""&amp;I54&amp;"""","")&amp;IF(ISTEXT(J54),","&amp;""""&amp;J54&amp;"""","")&amp;IF(ISTEXT(K54),","&amp;""""&amp;K54&amp;"""","")&amp;IF(ISTEXT(L54),","&amp;""""&amp;L54&amp;"""","")&amp;"],"</f>
        <v>"LED_Panel-green-dot_on“:[”LED_Panel-green-dot_on_ok","LED_Panel-green-dot_on_nok"],</v>
      </c>
      <c r="D54" s="32" t="s">
        <v>612</v>
      </c>
      <c r="E54" s="32" t="s">
        <v>739</v>
      </c>
      <c r="F54" s="32" t="s">
        <v>806</v>
      </c>
      <c r="G54" s="32" t="s">
        <v>807</v>
      </c>
    </row>
    <row r="55" customFormat="false" ht="14.4" hidden="false" customHeight="true" outlineLevel="0" collapsed="false">
      <c r="C55" s="33" t="str">
        <f aca="false">""""&amp;D55&amp;E55&amp;F55&amp;""""&amp;IF(ISTEXT(G55),","&amp;""""&amp;G55&amp;"""","")&amp;IF(ISTEXT(H55),","&amp;""""&amp;H55&amp;"""","")&amp;IF(ISTEXT(I55),","&amp;""""&amp;I55&amp;"""","")&amp;IF(ISTEXT(J55),","&amp;""""&amp;J55&amp;"""","")&amp;IF(ISTEXT(K55),","&amp;""""&amp;K55&amp;"""","")&amp;IF(ISTEXT(L55),","&amp;""""&amp;L55&amp;"""","")&amp;"],"</f>
        <v>"LED_Panel-red-dot“:[”LED_Panel-red-dot_on_ok","LED_Panel-red-dot_on_nok","LED_Panel-red-dot_off_ok","LED_Panel-red-dot_off_nok"],</v>
      </c>
      <c r="D55" s="32" t="s">
        <v>676</v>
      </c>
      <c r="E55" s="32" t="s">
        <v>739</v>
      </c>
      <c r="F55" s="32" t="s">
        <v>811</v>
      </c>
      <c r="G55" s="32" t="s">
        <v>812</v>
      </c>
      <c r="H55" s="32" t="s">
        <v>813</v>
      </c>
      <c r="I55" s="32" t="s">
        <v>814</v>
      </c>
    </row>
    <row r="56" customFormat="false" ht="14.4" hidden="false" customHeight="true" outlineLevel="0" collapsed="false">
      <c r="C56" s="33" t="str">
        <f aca="false">""""&amp;D56&amp;E56&amp;F56&amp;""""&amp;IF(ISTEXT(G56),","&amp;""""&amp;G56&amp;"""","")&amp;IF(ISTEXT(H56),","&amp;""""&amp;H56&amp;"""","")&amp;IF(ISTEXT(I56),","&amp;""""&amp;I56&amp;"""","")&amp;IF(ISTEXT(J56),","&amp;""""&amp;J56&amp;"""","")&amp;IF(ISTEXT(K56),","&amp;""""&amp;K56&amp;"""","")&amp;IF(ISTEXT(L56),","&amp;""""&amp;L56&amp;"""","")&amp;"],"</f>
        <v>"LED_Panel-red-dot_off“:[”LED_Panel-red-dot_off_ok","LED_Panel-red-dot_off_nok"],</v>
      </c>
      <c r="D56" s="32" t="s">
        <v>613</v>
      </c>
      <c r="E56" s="32" t="s">
        <v>739</v>
      </c>
      <c r="F56" s="32" t="s">
        <v>813</v>
      </c>
      <c r="G56" s="32" t="s">
        <v>814</v>
      </c>
    </row>
    <row r="57" customFormat="false" ht="14.4" hidden="false" customHeight="true" outlineLevel="0" collapsed="false">
      <c r="C57" s="33" t="str">
        <f aca="false">""""&amp;D57&amp;E57&amp;F57&amp;""""&amp;IF(ISTEXT(G57),","&amp;""""&amp;G57&amp;"""","")&amp;IF(ISTEXT(H57),","&amp;""""&amp;H57&amp;"""","")&amp;IF(ISTEXT(I57),","&amp;""""&amp;I57&amp;"""","")&amp;IF(ISTEXT(J57),","&amp;""""&amp;J57&amp;"""","")&amp;IF(ISTEXT(K57),","&amp;""""&amp;K57&amp;"""","")&amp;IF(ISTEXT(L57),","&amp;""""&amp;L57&amp;"""","")&amp;"],"</f>
        <v>"LED_Panel-red-dot_on“:[”LED_Panel-red-dot_on_ok","LED_Panel-red-dot_on_nok"],</v>
      </c>
      <c r="D57" s="32" t="s">
        <v>182</v>
      </c>
      <c r="E57" s="32" t="s">
        <v>739</v>
      </c>
      <c r="F57" s="32" t="s">
        <v>811</v>
      </c>
      <c r="G57" s="32" t="s">
        <v>812</v>
      </c>
    </row>
    <row r="58" customFormat="false" ht="14.4" hidden="false" customHeight="true" outlineLevel="0" collapsed="false">
      <c r="C58" s="33" t="str">
        <f aca="false">""""&amp;D58&amp;E58&amp;F58&amp;""""&amp;IF(ISTEXT(G58),","&amp;""""&amp;G58&amp;"""","")&amp;IF(ISTEXT(H58),","&amp;""""&amp;H58&amp;"""","")&amp;IF(ISTEXT(I58),","&amp;""""&amp;I58&amp;"""","")&amp;IF(ISTEXT(J58),","&amp;""""&amp;J58&amp;"""","")&amp;IF(ISTEXT(K58),","&amp;""""&amp;K58&amp;"""","")&amp;IF(ISTEXT(L58),","&amp;""""&amp;L58&amp;"""","")&amp;"],"</f>
        <v>"LED_pd“:[”LED_PD_on_ok","LED_PD_on_nok","LED_PD_off_ok","LED_PD_off_nok"],</v>
      </c>
      <c r="D58" s="32" t="s">
        <v>815</v>
      </c>
      <c r="E58" s="32" t="s">
        <v>739</v>
      </c>
      <c r="F58" s="32" t="s">
        <v>816</v>
      </c>
      <c r="G58" s="32" t="s">
        <v>817</v>
      </c>
      <c r="H58" s="32" t="s">
        <v>818</v>
      </c>
      <c r="I58" s="32" t="s">
        <v>819</v>
      </c>
    </row>
    <row r="59" customFormat="false" ht="14.4" hidden="false" customHeight="true" outlineLevel="0" collapsed="false">
      <c r="C59" s="33" t="str">
        <f aca="false">""""&amp;D59&amp;E59&amp;F59&amp;""""&amp;IF(ISTEXT(G59),","&amp;""""&amp;G59&amp;"""","")&amp;IF(ISTEXT(H59),","&amp;""""&amp;H59&amp;"""","")&amp;IF(ISTEXT(I59),","&amp;""""&amp;I59&amp;"""","")&amp;IF(ISTEXT(J59),","&amp;""""&amp;J59&amp;"""","")&amp;IF(ISTEXT(K59),","&amp;""""&amp;K59&amp;"""","")&amp;IF(ISTEXT(L59),","&amp;""""&amp;L59&amp;"""","")&amp;"],"</f>
        <v>"LED_PD_off“:[”LED_PD_off_ok","LED_PD_off_nok"],</v>
      </c>
      <c r="D59" s="32" t="s">
        <v>615</v>
      </c>
      <c r="E59" s="32" t="s">
        <v>739</v>
      </c>
      <c r="F59" s="32" t="s">
        <v>818</v>
      </c>
      <c r="G59" s="32" t="s">
        <v>819</v>
      </c>
    </row>
    <row r="60" customFormat="false" ht="14.4" hidden="false" customHeight="true" outlineLevel="0" collapsed="false">
      <c r="C60" s="33" t="str">
        <f aca="false">""""&amp;D60&amp;E60&amp;F60&amp;""""&amp;IF(ISTEXT(G60),","&amp;""""&amp;G60&amp;"""","")&amp;IF(ISTEXT(H60),","&amp;""""&amp;H60&amp;"""","")&amp;IF(ISTEXT(I60),","&amp;""""&amp;I60&amp;"""","")&amp;IF(ISTEXT(J60),","&amp;""""&amp;J60&amp;"""","")&amp;IF(ISTEXT(K60),","&amp;""""&amp;K60&amp;"""","")&amp;IF(ISTEXT(L60),","&amp;""""&amp;L60&amp;"""","")&amp;"],"</f>
        <v>"LED_PD_on“:[”LED_PD_on_ok","LED_PD_on_nok"],</v>
      </c>
      <c r="D60" s="32" t="s">
        <v>93</v>
      </c>
      <c r="E60" s="32" t="s">
        <v>739</v>
      </c>
      <c r="F60" s="32" t="s">
        <v>816</v>
      </c>
      <c r="G60" s="32" t="s">
        <v>817</v>
      </c>
    </row>
    <row r="61" customFormat="false" ht="14.4" hidden="false" customHeight="true" outlineLevel="0" collapsed="false">
      <c r="C61" s="33" t="str">
        <f aca="false">""""&amp;D61&amp;E61&amp;F61&amp;""""&amp;IF(ISTEXT(G61),","&amp;""""&amp;G61&amp;"""","")&amp;IF(ISTEXT(H61),","&amp;""""&amp;H61&amp;"""","")&amp;IF(ISTEXT(I61),","&amp;""""&amp;I61&amp;"""","")&amp;IF(ISTEXT(J61),","&amp;""""&amp;J61&amp;"""","")&amp;IF(ISTEXT(K61),","&amp;""""&amp;K61&amp;"""","")&amp;IF(ISTEXT(L61),","&amp;""""&amp;L61&amp;"""","")&amp;"],"</f>
        <v>"LED_Red“:[”LED_Red_off_nok","LED_Red_off_ok"," LED_Red_on_nok","LED_Red_on_ok"],</v>
      </c>
      <c r="D61" s="32" t="s">
        <v>529</v>
      </c>
      <c r="E61" s="32" t="s">
        <v>739</v>
      </c>
      <c r="F61" s="32" t="s">
        <v>820</v>
      </c>
      <c r="G61" s="32" t="s">
        <v>821</v>
      </c>
      <c r="H61" s="32" t="s">
        <v>822</v>
      </c>
      <c r="I61" s="32" t="s">
        <v>823</v>
      </c>
    </row>
    <row r="62" customFormat="false" ht="14.4" hidden="false" customHeight="true" outlineLevel="0" collapsed="false">
      <c r="C62" s="33" t="str">
        <f aca="false">""""&amp;D62&amp;E62&amp;F62&amp;""""&amp;IF(ISTEXT(G62),","&amp;""""&amp;G62&amp;"""","")&amp;IF(ISTEXT(H62),","&amp;""""&amp;H62&amp;"""","")&amp;IF(ISTEXT(I62),","&amp;""""&amp;I62&amp;"""","")&amp;IF(ISTEXT(J62),","&amp;""""&amp;J62&amp;"""","")&amp;IF(ISTEXT(K62),","&amp;""""&amp;K62&amp;"""","")&amp;IF(ISTEXT(L62),","&amp;""""&amp;L62&amp;"""","")&amp;"],"</f>
        <v>"LED_Red_off“:[”LED_Red_off_nok","LED_Red_off_ok"],</v>
      </c>
      <c r="D62" s="32" t="s">
        <v>95</v>
      </c>
      <c r="E62" s="32" t="s">
        <v>739</v>
      </c>
      <c r="F62" s="33" t="s">
        <v>820</v>
      </c>
      <c r="G62" s="33" t="s">
        <v>821</v>
      </c>
      <c r="H62" s="33"/>
      <c r="I62" s="33"/>
      <c r="J62" s="33"/>
      <c r="K62" s="33"/>
      <c r="L62" s="33"/>
    </row>
    <row r="63" customFormat="false" ht="14.4" hidden="false" customHeight="true" outlineLevel="0" collapsed="false">
      <c r="C63" s="33" t="str">
        <f aca="false">""""&amp;D63&amp;E63&amp;F63&amp;""""&amp;IF(ISTEXT(G63),","&amp;""""&amp;G63&amp;"""","")&amp;IF(ISTEXT(H63),","&amp;""""&amp;H63&amp;"""","")&amp;IF(ISTEXT(I63),","&amp;""""&amp;I63&amp;"""","")&amp;IF(ISTEXT(J63),","&amp;""""&amp;J63&amp;"""","")&amp;IF(ISTEXT(K63),","&amp;""""&amp;K63&amp;"""","")&amp;IF(ISTEXT(L63),","&amp;""""&amp;L63&amp;"""","")&amp;"],"</f>
        <v>"LED_Red_on“:[”LED_Red_on_nok","LED_Red_on_ok"],</v>
      </c>
      <c r="D63" s="32" t="s">
        <v>610</v>
      </c>
      <c r="E63" s="32" t="s">
        <v>739</v>
      </c>
      <c r="F63" s="32" t="s">
        <v>824</v>
      </c>
      <c r="G63" s="32" t="s">
        <v>823</v>
      </c>
    </row>
    <row r="64" customFormat="false" ht="14.4" hidden="false" customHeight="true" outlineLevel="0" collapsed="false">
      <c r="C64" s="33" t="str">
        <f aca="false">""""&amp;D64&amp;E64&amp;F64&amp;""""&amp;IF(ISTEXT(G64),","&amp;""""&amp;G64&amp;"""","")&amp;IF(ISTEXT(H64),","&amp;""""&amp;H64&amp;"""","")&amp;IF(ISTEXT(I64),","&amp;""""&amp;I64&amp;"""","")&amp;IF(ISTEXT(J64),","&amp;""""&amp;J64&amp;"""","")&amp;IF(ISTEXT(K64),","&amp;""""&amp;K64&amp;"""","")&amp;IF(ISTEXT(L64),","&amp;""""&amp;L64&amp;"""","")&amp;"],"</f>
        <v>"LED_Red-dot“:[”LED_Red-dot_off_nok","LED_Red-dot_off_ok"," LED_Red-dot_on_nok","LED_Red-dot_on_ok"],</v>
      </c>
      <c r="D64" s="32" t="s">
        <v>666</v>
      </c>
      <c r="E64" s="32" t="s">
        <v>739</v>
      </c>
      <c r="F64" s="32" t="s">
        <v>825</v>
      </c>
      <c r="G64" s="32" t="s">
        <v>826</v>
      </c>
      <c r="H64" s="32" t="s">
        <v>827</v>
      </c>
      <c r="I64" s="32" t="s">
        <v>828</v>
      </c>
    </row>
    <row r="65" customFormat="false" ht="14.4" hidden="false" customHeight="true" outlineLevel="0" collapsed="false">
      <c r="C65" s="33" t="str">
        <f aca="false">""""&amp;D65&amp;E65&amp;F65&amp;""""&amp;IF(ISTEXT(G65),","&amp;""""&amp;G65&amp;"""","")&amp;IF(ISTEXT(H65),","&amp;""""&amp;H65&amp;"""","")&amp;IF(ISTEXT(I65),","&amp;""""&amp;I65&amp;"""","")&amp;IF(ISTEXT(J65),","&amp;""""&amp;J65&amp;"""","")&amp;IF(ISTEXT(K65),","&amp;""""&amp;K65&amp;"""","")&amp;IF(ISTEXT(L65),","&amp;""""&amp;L65&amp;"""","")&amp;"],"</f>
        <v>"LED_Red-dot_off“:[”LED_Red-dot_off_nok","LED_Red-dot_off_ok"],</v>
      </c>
      <c r="D65" s="32" t="s">
        <v>303</v>
      </c>
      <c r="E65" s="32" t="s">
        <v>739</v>
      </c>
      <c r="F65" s="32" t="s">
        <v>825</v>
      </c>
      <c r="G65" s="32" t="s">
        <v>826</v>
      </c>
    </row>
    <row r="66" customFormat="false" ht="14.4" hidden="false" customHeight="true" outlineLevel="0" collapsed="false">
      <c r="C66" s="33" t="str">
        <f aca="false">""""&amp;D66&amp;E66&amp;F66&amp;""""&amp;IF(ISTEXT(G66),","&amp;""""&amp;G66&amp;"""","")&amp;IF(ISTEXT(H66),","&amp;""""&amp;H66&amp;"""","")&amp;IF(ISTEXT(I66),","&amp;""""&amp;I66&amp;"""","")&amp;IF(ISTEXT(J66),","&amp;""""&amp;J66&amp;"""","")&amp;IF(ISTEXT(K66),","&amp;""""&amp;K66&amp;"""","")&amp;IF(ISTEXT(L66),","&amp;""""&amp;L66&amp;"""","")&amp;"],"</f>
        <v>"LED_Red-dot_on“:[”LED_Red-dot_on_nok","LED_Red-dot_on_ok"],</v>
      </c>
      <c r="D66" s="32" t="s">
        <v>88</v>
      </c>
      <c r="E66" s="32" t="s">
        <v>739</v>
      </c>
      <c r="F66" s="32" t="s">
        <v>829</v>
      </c>
      <c r="G66" s="32" t="s">
        <v>828</v>
      </c>
    </row>
    <row r="67" customFormat="false" ht="14.4" hidden="false" customHeight="true" outlineLevel="0" collapsed="false">
      <c r="C67" s="33" t="str">
        <f aca="false">""""&amp;D67&amp;E67&amp;F67&amp;""""&amp;IF(ISTEXT(G67),","&amp;""""&amp;G67&amp;"""","")&amp;IF(ISTEXT(H67),","&amp;""""&amp;H67&amp;"""","")&amp;IF(ISTEXT(I67),","&amp;""""&amp;I67&amp;"""","")&amp;IF(ISTEXT(J67),","&amp;""""&amp;J67&amp;"""","")&amp;IF(ISTEXT(K67),","&amp;""""&amp;K67&amp;"""","")&amp;IF(ISTEXT(L67),","&amp;""""&amp;L67&amp;"""","")&amp;"],"</f>
        <v>"LED_Yellow_off“:[”LED_Yellow_off_ok","LED_Yellow_off_nok"],</v>
      </c>
      <c r="D67" s="32" t="s">
        <v>373</v>
      </c>
      <c r="E67" s="32" t="s">
        <v>739</v>
      </c>
      <c r="F67" s="32" t="s">
        <v>830</v>
      </c>
      <c r="G67" s="32" t="s">
        <v>831</v>
      </c>
    </row>
    <row r="68" customFormat="false" ht="14.4" hidden="false" customHeight="true" outlineLevel="0" collapsed="false">
      <c r="C68" s="33" t="str">
        <f aca="false">""""&amp;D68&amp;E68&amp;F68&amp;""""&amp;IF(ISTEXT(G68),","&amp;""""&amp;G68&amp;"""","")&amp;IF(ISTEXT(H68),","&amp;""""&amp;H68&amp;"""","")&amp;IF(ISTEXT(I68),","&amp;""""&amp;I68&amp;"""","")&amp;IF(ISTEXT(J68),","&amp;""""&amp;J68&amp;"""","")&amp;IF(ISTEXT(K68),","&amp;""""&amp;K68&amp;"""","")&amp;IF(ISTEXT(L68),","&amp;""""&amp;L68&amp;"""","")&amp;"],"</f>
        <v>"LED_Yellow_on“:[”LED_Yellow_on_ok","LED_Yellow_on_nok"],</v>
      </c>
      <c r="D68" s="32" t="s">
        <v>611</v>
      </c>
      <c r="E68" s="32" t="s">
        <v>739</v>
      </c>
      <c r="F68" s="32" t="s">
        <v>832</v>
      </c>
      <c r="G68" s="32" t="s">
        <v>833</v>
      </c>
    </row>
    <row r="69" customFormat="false" ht="14.4" hidden="false" customHeight="true" outlineLevel="0" collapsed="false">
      <c r="C69" s="33" t="str">
        <f aca="false">""""&amp;D69&amp;E69&amp;F69&amp;""""&amp;IF(ISTEXT(G69),","&amp;""""&amp;G69&amp;"""","")&amp;IF(ISTEXT(H69),","&amp;""""&amp;H69&amp;"""","")&amp;IF(ISTEXT(I69),","&amp;""""&amp;I69&amp;"""","")&amp;IF(ISTEXT(J69),","&amp;""""&amp;J69&amp;"""","")&amp;IF(ISTEXT(K69),","&amp;""""&amp;K69&amp;"""","")&amp;IF(ISTEXT(L69),","&amp;""""&amp;L69&amp;"""","")&amp;"],"</f>
        <v>"Sw_Nobe_Center“:[”Sw_Nobe_Center_ok","Sw_Nobe_Center_nok"],</v>
      </c>
      <c r="D69" s="32" t="s">
        <v>399</v>
      </c>
      <c r="E69" s="32" t="s">
        <v>739</v>
      </c>
      <c r="F69" s="32" t="s">
        <v>834</v>
      </c>
      <c r="G69" s="32" t="s">
        <v>835</v>
      </c>
    </row>
    <row r="70" customFormat="false" ht="14.4" hidden="false" customHeight="true" outlineLevel="0" collapsed="false">
      <c r="C70" s="33" t="str">
        <f aca="false">""""&amp;D70&amp;E70&amp;F70&amp;""""&amp;IF(ISTEXT(G70),","&amp;""""&amp;G70&amp;"""","")&amp;IF(ISTEXT(H70),","&amp;""""&amp;H70&amp;"""","")&amp;IF(ISTEXT(I70),","&amp;""""&amp;I70&amp;"""","")&amp;IF(ISTEXT(J70),","&amp;""""&amp;J70&amp;"""","")&amp;IF(ISTEXT(K70),","&amp;""""&amp;K70&amp;"""","")&amp;IF(ISTEXT(L70),","&amp;""""&amp;L70&amp;"""","")&amp;"],"</f>
        <v>"Sw_Nobe_Left“:[”Sw_Nobe_Left_ok","Sw_Nobe_Left_nok"],</v>
      </c>
      <c r="D70" s="32" t="s">
        <v>101</v>
      </c>
      <c r="E70" s="32" t="s">
        <v>739</v>
      </c>
      <c r="F70" s="32" t="s">
        <v>836</v>
      </c>
      <c r="G70" s="32" t="s">
        <v>837</v>
      </c>
    </row>
    <row r="71" customFormat="false" ht="14.4" hidden="false" customHeight="true" outlineLevel="0" collapsed="false">
      <c r="C71" s="33" t="str">
        <f aca="false">""""&amp;D71&amp;E71&amp;F71&amp;""""&amp;IF(ISTEXT(G71),","&amp;""""&amp;G71&amp;"""","")&amp;IF(ISTEXT(H71),","&amp;""""&amp;H71&amp;"""","")&amp;IF(ISTEXT(I71),","&amp;""""&amp;I71&amp;"""","")&amp;IF(ISTEXT(J71),","&amp;""""&amp;J71&amp;"""","")&amp;IF(ISTEXT(K71),","&amp;""""&amp;K71&amp;"""","")&amp;IF(ISTEXT(L71),","&amp;""""&amp;L71&amp;"""","")&amp;"],"</f>
        <v>"Sw_Nobe_Right“:[”Sw_Nobe_Right_ok","Sw_Nobe_Right_nok"],</v>
      </c>
      <c r="D71" s="32" t="s">
        <v>161</v>
      </c>
      <c r="E71" s="32" t="s">
        <v>739</v>
      </c>
      <c r="F71" s="32" t="s">
        <v>838</v>
      </c>
      <c r="G71" s="32" t="s">
        <v>839</v>
      </c>
    </row>
    <row r="72" customFormat="false" ht="14.4" hidden="false" customHeight="true" outlineLevel="0" collapsed="false">
      <c r="C72" s="33" t="str">
        <f aca="false">""""&amp;D72&amp;E72&amp;F72&amp;""""&amp;IF(ISTEXT(G72),","&amp;""""&amp;G72&amp;"""","")&amp;IF(ISTEXT(H72),","&amp;""""&amp;H72&amp;"""","")&amp;IF(ISTEXT(I72),","&amp;""""&amp;I72&amp;"""","")&amp;IF(ISTEXT(J72),","&amp;""""&amp;J72&amp;"""","")&amp;IF(ISTEXT(K72),","&amp;""""&amp;K72&amp;"""","")&amp;IF(ISTEXT(L72),","&amp;""""&amp;L72&amp;"""","")&amp;"],"</f>
        <v>"Sw_Nobe-dot_Center“:[”Sw_Nobe-dot_Center_ok","Sw_Nobe-dot_Center_nok"],</v>
      </c>
      <c r="D72" s="32" t="s">
        <v>396</v>
      </c>
      <c r="E72" s="32" t="s">
        <v>739</v>
      </c>
      <c r="F72" s="32" t="s">
        <v>840</v>
      </c>
      <c r="G72" s="32" t="s">
        <v>841</v>
      </c>
    </row>
    <row r="73" customFormat="false" ht="14.4" hidden="false" customHeight="true" outlineLevel="0" collapsed="false">
      <c r="C73" s="33" t="str">
        <f aca="false">""""&amp;D73&amp;E73&amp;F73&amp;""""&amp;IF(ISTEXT(G73),","&amp;""""&amp;G73&amp;"""","")&amp;IF(ISTEXT(H73),","&amp;""""&amp;H73&amp;"""","")&amp;IF(ISTEXT(I73),","&amp;""""&amp;I73&amp;"""","")&amp;IF(ISTEXT(J73),","&amp;""""&amp;J73&amp;"""","")&amp;IF(ISTEXT(K73),","&amp;""""&amp;K73&amp;"""","")&amp;IF(ISTEXT(L73),","&amp;""""&amp;L73&amp;"""","")&amp;"],"</f>
        <v>"Sw_Nobe-dot_Center_nok“:[”Sw_Nobe-dot_Center_nok"],</v>
      </c>
      <c r="D73" s="32" t="s">
        <v>841</v>
      </c>
      <c r="E73" s="32" t="s">
        <v>739</v>
      </c>
      <c r="F73" s="32" t="s">
        <v>841</v>
      </c>
    </row>
    <row r="74" customFormat="false" ht="14.4" hidden="false" customHeight="true" outlineLevel="0" collapsed="false">
      <c r="C74" s="33" t="str">
        <f aca="false">""""&amp;D74&amp;E74&amp;F74&amp;""""&amp;IF(ISTEXT(G74),","&amp;""""&amp;G74&amp;"""","")&amp;IF(ISTEXT(H74),","&amp;""""&amp;H74&amp;"""","")&amp;IF(ISTEXT(I74),","&amp;""""&amp;I74&amp;"""","")&amp;IF(ISTEXT(J74),","&amp;""""&amp;J74&amp;"""","")&amp;IF(ISTEXT(K74),","&amp;""""&amp;K74&amp;"""","")&amp;IF(ISTEXT(L74),","&amp;""""&amp;L74&amp;"""","")&amp;"],"</f>
        <v>"Sw_Nobe-dot_Left“:[”Sw_Nobe-dot_Left_ok","Sw_Nobe-dot_Left_nok"],</v>
      </c>
      <c r="D74" s="32" t="s">
        <v>90</v>
      </c>
      <c r="E74" s="32" t="s">
        <v>739</v>
      </c>
      <c r="F74" s="32" t="s">
        <v>842</v>
      </c>
      <c r="G74" s="32" t="s">
        <v>843</v>
      </c>
    </row>
    <row r="75" customFormat="false" ht="14.4" hidden="false" customHeight="true" outlineLevel="0" collapsed="false">
      <c r="C75" s="33" t="str">
        <f aca="false">""""&amp;D75&amp;E75&amp;F75&amp;""""&amp;IF(ISTEXT(G75),","&amp;""""&amp;G75&amp;"""","")&amp;IF(ISTEXT(H75),","&amp;""""&amp;H75&amp;"""","")&amp;IF(ISTEXT(I75),","&amp;""""&amp;I75&amp;"""","")&amp;IF(ISTEXT(J75),","&amp;""""&amp;J75&amp;"""","")&amp;IF(ISTEXT(K75),","&amp;""""&amp;K75&amp;"""","")&amp;IF(ISTEXT(L75),","&amp;""""&amp;L75&amp;"""","")&amp;"],"</f>
        <v>"Sw_Nobe-dot_Left_nok“:[”Sw_Nobe-dot_Left_nok"],</v>
      </c>
      <c r="D75" s="32" t="s">
        <v>843</v>
      </c>
      <c r="E75" s="32" t="s">
        <v>739</v>
      </c>
      <c r="F75" s="32" t="s">
        <v>843</v>
      </c>
    </row>
    <row r="76" customFormat="false" ht="14.4" hidden="false" customHeight="true" outlineLevel="0" collapsed="false">
      <c r="C76" s="33" t="str">
        <f aca="false">""""&amp;D76&amp;E76&amp;F76&amp;""""&amp;IF(ISTEXT(G76),","&amp;""""&amp;G76&amp;"""","")&amp;IF(ISTEXT(H76),","&amp;""""&amp;H76&amp;"""","")&amp;IF(ISTEXT(I76),","&amp;""""&amp;I76&amp;"""","")&amp;IF(ISTEXT(J76),","&amp;""""&amp;J76&amp;"""","")&amp;IF(ISTEXT(K76),","&amp;""""&amp;K76&amp;"""","")&amp;IF(ISTEXT(L76),","&amp;""""&amp;L76&amp;"""","")&amp;"],"</f>
        <v>"Sw_Nobe-dot_Right“:[”Sw_Nobe-dot_Right_ok","Sw_Nobe-dot_Right_nok"],</v>
      </c>
      <c r="D76" s="32" t="s">
        <v>137</v>
      </c>
      <c r="E76" s="32" t="s">
        <v>739</v>
      </c>
      <c r="F76" s="32" t="s">
        <v>844</v>
      </c>
      <c r="G76" s="32" t="s">
        <v>845</v>
      </c>
    </row>
    <row r="77" customFormat="false" ht="14.4" hidden="false" customHeight="true" outlineLevel="0" collapsed="false">
      <c r="C77" s="33" t="str">
        <f aca="false">""""&amp;D77&amp;E77&amp;F77&amp;""""&amp;IF(ISTEXT(G77),","&amp;""""&amp;G77&amp;"""","")&amp;IF(ISTEXT(H77),","&amp;""""&amp;H77&amp;"""","")&amp;IF(ISTEXT(I77),","&amp;""""&amp;I77&amp;"""","")&amp;IF(ISTEXT(J77),","&amp;""""&amp;J77&amp;"""","")&amp;IF(ISTEXT(K77),","&amp;""""&amp;K77&amp;"""","")&amp;IF(ISTEXT(L77),","&amp;""""&amp;L77&amp;"""","")&amp;"],"</f>
        <v>"Sw_Nobe-dot_Right_nok“:[”Sw_Nobe-dot_Right_nok"],</v>
      </c>
      <c r="D77" s="32" t="s">
        <v>845</v>
      </c>
      <c r="E77" s="32" t="s">
        <v>739</v>
      </c>
      <c r="F77" s="32" t="s">
        <v>845</v>
      </c>
    </row>
    <row r="78" customFormat="false" ht="14.4" hidden="false" customHeight="true" outlineLevel="0" collapsed="false">
      <c r="C78" s="33" t="str">
        <f aca="false">""""&amp;D78&amp;E78&amp;F78&amp;""""&amp;IF(ISTEXT(G78),","&amp;""""&amp;G78&amp;"""","")&amp;IF(ISTEXT(H78),","&amp;""""&amp;H78&amp;"""","")&amp;IF(ISTEXT(I78),","&amp;""""&amp;I78&amp;"""","")&amp;IF(ISTEXT(J78),","&amp;""""&amp;J78&amp;"""","")&amp;IF(ISTEXT(K78),","&amp;""""&amp;K78&amp;"""","")&amp;IF(ISTEXT(L78),","&amp;""""&amp;L78&amp;"""","")&amp;"],"</f>
        <v>"Sw_Pump_Center“:[”Sw_Pump_Center_ok"],</v>
      </c>
      <c r="D78" s="32" t="s">
        <v>532</v>
      </c>
      <c r="E78" s="32" t="s">
        <v>739</v>
      </c>
      <c r="F78" s="32" t="s">
        <v>846</v>
      </c>
    </row>
    <row r="79" customFormat="false" ht="14.4" hidden="false" customHeight="true" outlineLevel="0" collapsed="false">
      <c r="C79" s="33" t="str">
        <f aca="false">""""&amp;D79&amp;E79&amp;F79&amp;""""&amp;IF(ISTEXT(G79),","&amp;""""&amp;G79&amp;"""","")&amp;IF(ISTEXT(H79),","&amp;""""&amp;H79&amp;"""","")&amp;IF(ISTEXT(I79),","&amp;""""&amp;I79&amp;"""","")&amp;IF(ISTEXT(J79),","&amp;""""&amp;J79&amp;"""","")&amp;IF(ISTEXT(K79),","&amp;""""&amp;K79&amp;"""","")&amp;IF(ISTEXT(L79),","&amp;""""&amp;L79&amp;"""","")&amp;"],"</f>
        <v>"Sw_Pump_Left“:[”Sw_Pump_Left_ok"],</v>
      </c>
      <c r="D79" s="32" t="s">
        <v>540</v>
      </c>
      <c r="E79" s="32" t="s">
        <v>739</v>
      </c>
      <c r="F79" s="32" t="s">
        <v>847</v>
      </c>
    </row>
    <row r="80" customFormat="false" ht="14.4" hidden="false" customHeight="true" outlineLevel="0" collapsed="false">
      <c r="C80" s="33" t="str">
        <f aca="false">""""&amp;D80&amp;E80&amp;F80&amp;""""&amp;IF(ISTEXT(G80),","&amp;""""&amp;G80&amp;"""","")&amp;IF(ISTEXT(H80),","&amp;""""&amp;H80&amp;"""","")&amp;IF(ISTEXT(I80),","&amp;""""&amp;I80&amp;"""","")&amp;IF(ISTEXT(J80),","&amp;""""&amp;J80&amp;"""","")&amp;IF(ISTEXT(K80),","&amp;""""&amp;K80&amp;"""","")&amp;IF(ISTEXT(L80),","&amp;""""&amp;L80&amp;"""","")&amp;"],"</f>
        <v>"Sw_Pump_Right“:[”Sw_Pump_Right_ok"],</v>
      </c>
      <c r="D80" s="32" t="s">
        <v>848</v>
      </c>
      <c r="E80" s="32" t="s">
        <v>739</v>
      </c>
      <c r="F80" s="32" t="s">
        <v>849</v>
      </c>
    </row>
    <row r="81" customFormat="false" ht="14.4" hidden="false" customHeight="true" outlineLevel="0" collapsed="false">
      <c r="C81" s="33" t="str">
        <f aca="false">""""&amp;D81&amp;E81&amp;F81&amp;""""&amp;IF(ISTEXT(G81),","&amp;""""&amp;G81&amp;"""","")&amp;IF(ISTEXT(H81),","&amp;""""&amp;H81&amp;"""","")&amp;IF(ISTEXT(I81),","&amp;""""&amp;I81&amp;"""","")&amp;IF(ISTEXT(J81),","&amp;""""&amp;J81&amp;"""","")&amp;IF(ISTEXT(K81),","&amp;""""&amp;K81&amp;"""","")&amp;IF(ISTEXT(L81),","&amp;""""&amp;L81&amp;"""","")&amp;"],"</f>
        <v>"Sw_Round_Center“:[”Sw_Round_Center_ok","Sw_Round_Center_nok"],</v>
      </c>
      <c r="D81" s="32" t="s">
        <v>850</v>
      </c>
      <c r="E81" s="32" t="s">
        <v>739</v>
      </c>
      <c r="F81" s="32" t="s">
        <v>851</v>
      </c>
      <c r="G81" s="32" t="s">
        <v>852</v>
      </c>
    </row>
    <row r="82" customFormat="false" ht="14.4" hidden="false" customHeight="true" outlineLevel="0" collapsed="false">
      <c r="C82" s="33" t="str">
        <f aca="false">""""&amp;D82&amp;E82&amp;F82&amp;""""&amp;IF(ISTEXT(G82),","&amp;""""&amp;G82&amp;"""","")&amp;IF(ISTEXT(H82),","&amp;""""&amp;H82&amp;"""","")&amp;IF(ISTEXT(I82),","&amp;""""&amp;I82&amp;"""","")&amp;IF(ISTEXT(J82),","&amp;""""&amp;J82&amp;"""","")&amp;IF(ISTEXT(K82),","&amp;""""&amp;K82&amp;"""","")&amp;IF(ISTEXT(L82),","&amp;""""&amp;L82&amp;"""","")&amp;"],"</f>
        <v>"Sw_Round_Left“:[”Sw_Round_Left_ok","Sw_Round_Left_nok"],</v>
      </c>
      <c r="D82" s="32" t="s">
        <v>853</v>
      </c>
      <c r="E82" s="32" t="s">
        <v>739</v>
      </c>
      <c r="F82" s="32" t="s">
        <v>854</v>
      </c>
      <c r="G82" s="32" t="s">
        <v>855</v>
      </c>
    </row>
    <row r="83" customFormat="false" ht="14.4" hidden="false" customHeight="true" outlineLevel="0" collapsed="false">
      <c r="C83" s="33" t="str">
        <f aca="false">""""&amp;D83&amp;E83&amp;F83&amp;""""&amp;IF(ISTEXT(G83),","&amp;""""&amp;G83&amp;"""","")&amp;IF(ISTEXT(H83),","&amp;""""&amp;H83&amp;"""","")&amp;IF(ISTEXT(I83),","&amp;""""&amp;I83&amp;"""","")&amp;IF(ISTEXT(J83),","&amp;""""&amp;J83&amp;"""","")&amp;IF(ISTEXT(K83),","&amp;""""&amp;K83&amp;"""","")&amp;IF(ISTEXT(L83),","&amp;""""&amp;L83&amp;"""","")&amp;"],"</f>
        <v>"Sw_Round_Right“:[”Sw_Round_Right_ok","Sw_Round_Right_nok"],</v>
      </c>
      <c r="D83" s="32" t="s">
        <v>856</v>
      </c>
      <c r="E83" s="32" t="s">
        <v>739</v>
      </c>
      <c r="F83" s="32" t="s">
        <v>857</v>
      </c>
      <c r="G83" s="32" t="s">
        <v>858</v>
      </c>
    </row>
    <row r="84" customFormat="false" ht="14.4" hidden="false" customHeight="true" outlineLevel="0" collapsed="false">
      <c r="C84" s="33" t="str">
        <f aca="false">""""&amp;D84&amp;E84&amp;F84&amp;""""&amp;IF(ISTEXT(G84),","&amp;""""&amp;G84&amp;"""","")&amp;IF(ISTEXT(H84),","&amp;""""&amp;H84&amp;"""","")&amp;IF(ISTEXT(I84),","&amp;""""&amp;I84&amp;"""","")&amp;IF(ISTEXT(J84),","&amp;""""&amp;J84&amp;"""","")&amp;IF(ISTEXT(K84),","&amp;""""&amp;K84&amp;"""","")&amp;IF(ISTEXT(L84),","&amp;""""&amp;L84&amp;"""","")&amp;"],"</f>
        <v>"Sw_Round-dot_Center“:[”Sw_Round-dot_Center_ok","Sw_Round-dot_Center_nok"],</v>
      </c>
      <c r="D84" s="32" t="s">
        <v>622</v>
      </c>
      <c r="E84" s="32" t="s">
        <v>739</v>
      </c>
      <c r="F84" s="32" t="s">
        <v>859</v>
      </c>
      <c r="G84" s="32" t="s">
        <v>860</v>
      </c>
    </row>
    <row r="85" customFormat="false" ht="14.4" hidden="false" customHeight="true" outlineLevel="0" collapsed="false">
      <c r="C85" s="33" t="str">
        <f aca="false">""""&amp;D85&amp;E85&amp;F85&amp;""""&amp;IF(ISTEXT(G85),","&amp;""""&amp;G85&amp;"""","")&amp;IF(ISTEXT(H85),","&amp;""""&amp;H85&amp;"""","")&amp;IF(ISTEXT(I85),","&amp;""""&amp;I85&amp;"""","")&amp;IF(ISTEXT(J85),","&amp;""""&amp;J85&amp;"""","")&amp;IF(ISTEXT(K85),","&amp;""""&amp;K85&amp;"""","")&amp;IF(ISTEXT(L85),","&amp;""""&amp;L85&amp;"""","")&amp;"],"</f>
        <v>"Sw_Round-dot_Left“:[”Sw_Round-dot_Left_ok","Sw_Round-dot_Left_nok"],</v>
      </c>
      <c r="D85" s="32" t="s">
        <v>104</v>
      </c>
      <c r="E85" s="32" t="s">
        <v>739</v>
      </c>
      <c r="F85" s="32" t="s">
        <v>861</v>
      </c>
      <c r="G85" s="32" t="s">
        <v>862</v>
      </c>
    </row>
    <row r="86" customFormat="false" ht="14.4" hidden="false" customHeight="true" outlineLevel="0" collapsed="false">
      <c r="C86" s="33" t="str">
        <f aca="false">""""&amp;D86&amp;E86&amp;F86&amp;""""&amp;IF(ISTEXT(G86),","&amp;""""&amp;G86&amp;"""","")&amp;IF(ISTEXT(H86),","&amp;""""&amp;H86&amp;"""","")&amp;IF(ISTEXT(I86),","&amp;""""&amp;I86&amp;"""","")&amp;IF(ISTEXT(J86),","&amp;""""&amp;J86&amp;"""","")&amp;IF(ISTEXT(K86),","&amp;""""&amp;K86&amp;"""","")&amp;IF(ISTEXT(L86),","&amp;""""&amp;L86&amp;"""","")&amp;"],"</f>
        <v>"Sw_Round-dot_Right“:[”Sw_Round-dot_Right_ok","Sw_Round-dot_Right_nok"],</v>
      </c>
      <c r="D86" s="32" t="s">
        <v>623</v>
      </c>
      <c r="E86" s="32" t="s">
        <v>739</v>
      </c>
      <c r="F86" s="32" t="s">
        <v>863</v>
      </c>
      <c r="G86" s="32" t="s">
        <v>864</v>
      </c>
    </row>
    <row r="87" customFormat="false" ht="14.4" hidden="false" customHeight="true" outlineLevel="0" collapsed="false">
      <c r="C87" s="33" t="str">
        <f aca="false">""""&amp;D87&amp;E87&amp;F87&amp;""""&amp;IF(ISTEXT(G87),","&amp;""""&amp;G87&amp;"""","")&amp;IF(ISTEXT(H87),","&amp;""""&amp;H87&amp;"""","")&amp;IF(ISTEXT(I87),","&amp;""""&amp;I87&amp;"""","")&amp;IF(ISTEXT(J87),","&amp;""""&amp;J87&amp;"""","")&amp;IF(ISTEXT(K87),","&amp;""""&amp;K87&amp;"""","")&amp;IF(ISTEXT(L87),","&amp;""""&amp;L87&amp;"""","")&amp;"],"</f>
        <v>"Sw_Valve_Closed“:[”Valve_Valve_Closed_ok","Valve_Valve_Opened_ok"],</v>
      </c>
      <c r="D87" s="32" t="s">
        <v>620</v>
      </c>
      <c r="E87" s="32" t="s">
        <v>739</v>
      </c>
      <c r="F87" s="32" t="s">
        <v>865</v>
      </c>
      <c r="G87" s="32" t="s">
        <v>866</v>
      </c>
    </row>
    <row r="88" customFormat="false" ht="14.4" hidden="false" customHeight="true" outlineLevel="0" collapsed="false">
      <c r="C88" s="33" t="str">
        <f aca="false">""""&amp;D88&amp;E88&amp;F88&amp;""""&amp;IF(ISTEXT(G88),","&amp;""""&amp;G88&amp;"""","")&amp;IF(ISTEXT(H88),","&amp;""""&amp;H88&amp;"""","")&amp;IF(ISTEXT(I88),","&amp;""""&amp;I88&amp;"""","")&amp;IF(ISTEXT(J88),","&amp;""""&amp;J88&amp;"""","")&amp;IF(ISTEXT(K88),","&amp;""""&amp;K88&amp;"""","")&amp;IF(ISTEXT(L88),","&amp;""""&amp;L88&amp;"""","")&amp;"],"</f>
        <v>"Sw_Valve_Opened“:[”Valve_Valve_Closed_ok","Valve_Valve_Opened_ok"],</v>
      </c>
      <c r="D88" s="32" t="s">
        <v>621</v>
      </c>
      <c r="E88" s="32" t="s">
        <v>739</v>
      </c>
      <c r="F88" s="32" t="s">
        <v>865</v>
      </c>
      <c r="G88" s="32" t="s">
        <v>866</v>
      </c>
    </row>
    <row r="89" customFormat="false" ht="14.4" hidden="false" customHeight="true" outlineLevel="0" collapsed="false">
      <c r="C89" s="33" t="str">
        <f aca="false">""""&amp;D89&amp;E89&amp;F89&amp;""""&amp;IF(ISTEXT(G89),","&amp;""""&amp;G89&amp;"""","")&amp;IF(ISTEXT(H89),","&amp;""""&amp;H89&amp;"""","")&amp;IF(ISTEXT(I89),","&amp;""""&amp;I89&amp;"""","")&amp;IF(ISTEXT(J89),","&amp;""""&amp;J89&amp;"""","")&amp;IF(ISTEXT(K89),","&amp;""""&amp;K89&amp;"""","")&amp;IF(ISTEXT(L89),","&amp;""""&amp;L89&amp;"""","")&amp;"],"</f>
        <v>"Sw_Valve“:[”Valve_Valve_Closed_ok","Valve_Valve_Opened_ok"],</v>
      </c>
      <c r="D89" s="32" t="s">
        <v>426</v>
      </c>
      <c r="E89" s="32" t="s">
        <v>739</v>
      </c>
      <c r="F89" s="32" t="s">
        <v>865</v>
      </c>
      <c r="G89" s="32" t="s">
        <v>866</v>
      </c>
    </row>
    <row r="90" customFormat="false" ht="14.4" hidden="false" customHeight="true" outlineLevel="0" collapsed="false">
      <c r="C90" s="33" t="str">
        <f aca="false">""""&amp;D90&amp;E90&amp;F90&amp;""""&amp;IF(ISTEXT(G90),","&amp;""""&amp;G90&amp;"""","")&amp;IF(ISTEXT(H90),","&amp;""""&amp;H90&amp;"""","")&amp;IF(ISTEXT(I90),","&amp;""""&amp;I90&amp;"""","")&amp;IF(ISTEXT(J90),","&amp;""""&amp;J90&amp;"""","")&amp;IF(ISTEXT(K90),","&amp;""""&amp;K90&amp;"""","")&amp;IF(ISTEXT(L90),","&amp;""""&amp;L90&amp;"""","")&amp;"],"</f>
        <v>"Class_C-Duct_Clean“:[”Class_C-Duct_Clean"],</v>
      </c>
      <c r="D90" s="36" t="s">
        <v>323</v>
      </c>
      <c r="E90" s="32" t="s">
        <v>739</v>
      </c>
      <c r="F90" s="36" t="s">
        <v>323</v>
      </c>
    </row>
    <row r="91" customFormat="false" ht="14.4" hidden="false" customHeight="true" outlineLevel="0" collapsed="false">
      <c r="C91" s="33" t="str">
        <f aca="false">""""&amp;D91&amp;E91&amp;F91&amp;""""&amp;IF(ISTEXT(G91),","&amp;""""&amp;G91&amp;"""","")&amp;IF(ISTEXT(H91),","&amp;""""&amp;H91&amp;"""","")&amp;IF(ISTEXT(I91),","&amp;""""&amp;I91&amp;"""","")&amp;IF(ISTEXT(J91),","&amp;""""&amp;J91&amp;"""","")&amp;IF(ISTEXT(K91),","&amp;""""&amp;K91&amp;"""","")&amp;IF(ISTEXT(L91),","&amp;""""&amp;L91&amp;"""","")&amp;"],"</f>
        <v>"Class_Clean“:[”Class_Clean"],</v>
      </c>
      <c r="D91" s="36" t="s">
        <v>331</v>
      </c>
      <c r="E91" s="32" t="s">
        <v>739</v>
      </c>
      <c r="F91" s="36" t="s">
        <v>331</v>
      </c>
    </row>
    <row r="92" customFormat="false" ht="14.4" hidden="false" customHeight="true" outlineLevel="0" collapsed="false">
      <c r="C92" s="33" t="str">
        <f aca="false">""""&amp;D92&amp;E92&amp;F92&amp;""""&amp;IF(ISTEXT(G92),","&amp;""""&amp;G92&amp;"""","")&amp;IF(ISTEXT(H92),","&amp;""""&amp;H92&amp;"""","")&amp;IF(ISTEXT(I92),","&amp;""""&amp;I92&amp;"""","")&amp;IF(ISTEXT(J92),","&amp;""""&amp;J92&amp;"""","")&amp;IF(ISTEXT(K92),","&amp;""""&amp;K92&amp;"""","")&amp;IF(ISTEXT(L92),","&amp;""""&amp;L92&amp;"""","")&amp;"],"</f>
        <v>"Class_Outlet“:[”Class_Outlet"],</v>
      </c>
      <c r="D92" s="36" t="s">
        <v>293</v>
      </c>
      <c r="E92" s="32" t="s">
        <v>739</v>
      </c>
      <c r="F92" s="36" t="s">
        <v>293</v>
      </c>
    </row>
    <row r="93" customFormat="false" ht="14.4" hidden="false" customHeight="true" outlineLevel="0" collapsed="false">
      <c r="C93" s="33" t="str">
        <f aca="false">""""&amp;D93&amp;E93&amp;F93&amp;""""&amp;IF(ISTEXT(G93),","&amp;""""&amp;G93&amp;"""","")&amp;IF(ISTEXT(H93),","&amp;""""&amp;H93&amp;"""","")&amp;IF(ISTEXT(I93),","&amp;""""&amp;I93&amp;"""","")&amp;IF(ISTEXT(J93),","&amp;""""&amp;J93&amp;"""","")&amp;IF(ISTEXT(K93),","&amp;""""&amp;K93&amp;"""","")&amp;IF(ISTEXT(L93),","&amp;""""&amp;L93&amp;"""","")&amp;"],"</f>
        <v>"Class_Plumb_Clean“:[”Class_Plumb_Clean"],</v>
      </c>
      <c r="D93" s="36" t="s">
        <v>349</v>
      </c>
      <c r="E93" s="32" t="s">
        <v>739</v>
      </c>
      <c r="F93" s="36" t="s">
        <v>349</v>
      </c>
    </row>
    <row r="94" customFormat="false" ht="14.4" hidden="false" customHeight="true" outlineLevel="0" collapsed="false">
      <c r="C94" s="33" t="str">
        <f aca="false">""""&amp;D94&amp;E94&amp;F94&amp;""""&amp;IF(ISTEXT(G94),","&amp;""""&amp;G94&amp;"""","")&amp;IF(ISTEXT(H94),","&amp;""""&amp;H94&amp;"""","")&amp;IF(ISTEXT(I94),","&amp;""""&amp;I94&amp;"""","")&amp;IF(ISTEXT(J94),","&amp;""""&amp;J94&amp;"""","")&amp;IF(ISTEXT(K94),","&amp;""""&amp;K94&amp;"""","")&amp;IF(ISTEXT(L94),","&amp;""""&amp;L94&amp;"""","")&amp;"],"</f>
        <v>"Class_W-Tank_Gauge“:[”Class_W-Tank_Gauge"],</v>
      </c>
      <c r="D94" s="36" t="s">
        <v>477</v>
      </c>
      <c r="E94" s="32" t="s">
        <v>739</v>
      </c>
      <c r="F94" s="36" t="s">
        <v>477</v>
      </c>
    </row>
    <row r="95" customFormat="false" ht="14.4" hidden="false" customHeight="true" outlineLevel="0" collapsed="false">
      <c r="C95" s="33" t="str">
        <f aca="false">""""&amp;D95&amp;E95&amp;F95&amp;""""&amp;IF(ISTEXT(G95),","&amp;""""&amp;G95&amp;"""","")&amp;IF(ISTEXT(H95),","&amp;""""&amp;H95&amp;"""","")&amp;IF(ISTEXT(I95),","&amp;""""&amp;I95&amp;"""","")&amp;IF(ISTEXT(J95),","&amp;""""&amp;J95&amp;"""","")&amp;IF(ISTEXT(K95),","&amp;""""&amp;K95&amp;"""","")&amp;IF(ISTEXT(L95),","&amp;""""&amp;L95&amp;"""","")&amp;"],"</f>
        <v>"Class_Water_Clean“:[”Class_Water_Clean"],</v>
      </c>
      <c r="D95" s="36" t="s">
        <v>491</v>
      </c>
      <c r="E95" s="32" t="s">
        <v>739</v>
      </c>
      <c r="F95" s="36" t="s">
        <v>491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2"/>
  <sheetViews>
    <sheetView showFormulas="false" showGridLines="true" showRowColHeaders="true" showZeros="true" rightToLeft="false" tabSelected="false" showOutlineSymbols="true" defaultGridColor="true" view="normal" topLeftCell="A32" colorId="64" zoomScale="200" zoomScaleNormal="200" zoomScalePageLayoutView="100" workbookViewId="0">
      <selection pane="topLeft" activeCell="C42" activeCellId="0" sqref="C4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29.61"/>
    <col collapsed="false" customWidth="true" hidden="false" outlineLevel="0" max="2" min="2" style="0" width="30.77"/>
    <col collapsed="false" customWidth="true" hidden="false" outlineLevel="0" max="3" min="3" style="0" width="60.53"/>
  </cols>
  <sheetData>
    <row r="1" customFormat="false" ht="12.8" hidden="false" customHeight="false" outlineLevel="0" collapsed="false">
      <c r="A1" s="0" t="s">
        <v>867</v>
      </c>
      <c r="B1" s="0" t="s">
        <v>868</v>
      </c>
      <c r="C1" s="0" t="s">
        <v>869</v>
      </c>
    </row>
    <row r="2" customFormat="false" ht="12.8" hidden="false" customHeight="false" outlineLevel="0" collapsed="false">
      <c r="A2" s="0" t="s">
        <v>606</v>
      </c>
      <c r="B2" s="0" t="s">
        <v>870</v>
      </c>
      <c r="C2" s="0" t="str">
        <f aca="false">_xlfn.CONCAT("""",A2,"""",": " ,"""",B2,"""",",")</f>
        <v>"AG_Pressure_Fire-extingusher": "AG_Pressure_Fire-extingusher_NA",</v>
      </c>
    </row>
    <row r="3" customFormat="false" ht="12.8" hidden="false" customHeight="false" outlineLevel="0" collapsed="false">
      <c r="A3" s="37" t="s">
        <v>871</v>
      </c>
      <c r="B3" s="0" t="s">
        <v>760</v>
      </c>
      <c r="C3" s="0" t="str">
        <f aca="false">_xlfn.CONCAT("""",A3,"""",": " ,"""",B3,"""",",")</f>
        <v>"AG_Thermo-hygro_NA_ok": "AG_Thermo-hygro_NA_NA",</v>
      </c>
    </row>
    <row r="4" customFormat="false" ht="12.8" hidden="false" customHeight="false" outlineLevel="0" collapsed="false">
      <c r="A4" s="38" t="s">
        <v>872</v>
      </c>
      <c r="B4" s="0" t="s">
        <v>752</v>
      </c>
      <c r="C4" s="0" t="str">
        <f aca="false">_xlfn.CONCAT("""",A4,"""",": " ,"""",B4,"""",",")</f>
        <v>"AG_Pressure01_NA_P-0-1_ok": "AG_Pressure01_NA_NA",</v>
      </c>
    </row>
    <row r="5" customFormat="false" ht="12.8" hidden="false" customHeight="false" outlineLevel="0" collapsed="false">
      <c r="A5" s="38" t="s">
        <v>873</v>
      </c>
      <c r="B5" s="0" t="s">
        <v>753</v>
      </c>
      <c r="C5" s="0" t="str">
        <f aca="false">_xlfn.CONCAT("""",A5,"""",": " ,"""",B5,"""",",")</f>
        <v>"AG_Pressure02_NA_P-0-1.5_ok": "AG_Pressure02_NA_NA",</v>
      </c>
    </row>
    <row r="6" customFormat="false" ht="12.8" hidden="false" customHeight="false" outlineLevel="0" collapsed="false">
      <c r="A6" s="38" t="s">
        <v>874</v>
      </c>
      <c r="B6" s="0" t="s">
        <v>754</v>
      </c>
      <c r="C6" s="0" t="str">
        <f aca="false">_xlfn.CONCAT("""",A6,"""",": " ,"""",B6,"""",",")</f>
        <v>"AG_Pressure03_NA_P-0-1.5_ok": "AG_Pressure03_NA_NA",</v>
      </c>
    </row>
    <row r="7" customFormat="false" ht="12.8" hidden="false" customHeight="false" outlineLevel="0" collapsed="false">
      <c r="A7" s="38" t="s">
        <v>875</v>
      </c>
      <c r="B7" s="0" t="s">
        <v>755</v>
      </c>
      <c r="C7" s="0" t="str">
        <f aca="false">_xlfn.CONCAT("""",A7,"""",": " ,"""",B7,"""",",")</f>
        <v>"AG_Pressure04_NA_P-0-1.5_ok": "AG_Pressure04_NA_NA",</v>
      </c>
    </row>
    <row r="8" customFormat="false" ht="12.8" hidden="false" customHeight="false" outlineLevel="0" collapsed="false">
      <c r="A8" s="38" t="s">
        <v>876</v>
      </c>
      <c r="B8" s="0" t="s">
        <v>756</v>
      </c>
      <c r="C8" s="0" t="str">
        <f aca="false">_xlfn.CONCAT("""",A8,"""",": " ,"""",B8,"""",",")</f>
        <v>"AG_Pressure05_NA_P-0-16_ok": "AG_Pressure05_NA_NA",</v>
      </c>
    </row>
    <row r="9" customFormat="false" ht="12.8" hidden="false" customHeight="false" outlineLevel="0" collapsed="false">
      <c r="A9" s="38" t="s">
        <v>877</v>
      </c>
      <c r="B9" s="0" t="s">
        <v>757</v>
      </c>
      <c r="C9" s="0" t="str">
        <f aca="false">_xlfn.CONCAT("""",A9,"""",": " ,"""",B9,"""",",")</f>
        <v>"AG_Pressure06_NA_P-0-1.5_ok": "AG_Pressure06_NA_NA",</v>
      </c>
    </row>
    <row r="10" customFormat="false" ht="12.8" hidden="false" customHeight="false" outlineLevel="0" collapsed="false">
      <c r="A10" s="38" t="s">
        <v>878</v>
      </c>
      <c r="B10" s="0" t="s">
        <v>758</v>
      </c>
      <c r="C10" s="0" t="str">
        <f aca="false">_xlfn.CONCAT("""",A10,"""",": " ,"""",B10,"""",",")</f>
        <v>"AG_Pressure07_NA_P-0-2_ok": "AG_Pressure07_NA_NA",</v>
      </c>
    </row>
    <row r="11" customFormat="false" ht="12.8" hidden="false" customHeight="false" outlineLevel="0" collapsed="false">
      <c r="A11" s="38" t="s">
        <v>879</v>
      </c>
      <c r="B11" s="0" t="s">
        <v>759</v>
      </c>
      <c r="C11" s="0" t="str">
        <f aca="false">_xlfn.CONCAT("""",A11,"""",": " ,"""",B11,"""",",")</f>
        <v>"AG_Temperature_NA_T-0-100_ok": "AG_Temperature_NA_NA",</v>
      </c>
    </row>
    <row r="12" customFormat="false" ht="12.8" hidden="false" customHeight="false" outlineLevel="0" collapsed="false">
      <c r="A12" s="38" t="s">
        <v>880</v>
      </c>
      <c r="B12" s="0" t="s">
        <v>746</v>
      </c>
      <c r="C12" s="0" t="str">
        <f aca="false">_xlfn.CONCAT("""",A12,"""",": " ,"""",B12,"""",",")</f>
        <v>"AG_Ammeter01_NA_A-0-300_ok": "AG_Ammeter01_AC_NA",</v>
      </c>
    </row>
    <row r="13" customFormat="false" ht="12.8" hidden="false" customHeight="false" outlineLevel="0" collapsed="false">
      <c r="A13" s="38" t="s">
        <v>881</v>
      </c>
      <c r="B13" s="0" t="s">
        <v>747</v>
      </c>
      <c r="C13" s="0" t="str">
        <f aca="false">_xlfn.CONCAT("""",A13,"""",": " ,"""",B13,"""",",")</f>
        <v>"AG_Ammeter02_NA_A-0-30_ok": "AG_Ammeter02_AC_NA",</v>
      </c>
    </row>
    <row r="14" customFormat="false" ht="12.8" hidden="false" customHeight="false" outlineLevel="0" collapsed="false">
      <c r="A14" s="38" t="s">
        <v>882</v>
      </c>
      <c r="B14" s="0" t="s">
        <v>761</v>
      </c>
      <c r="C14" s="0" t="str">
        <f aca="false">_xlfn.CONCAT("""",A14,"""",": " ,"""",B14,"""",",")</f>
        <v>"AG_Voltimeter_NA_V-0-30_ok": "AG_Voltimeter_AC_NA",</v>
      </c>
    </row>
    <row r="15" customFormat="false" ht="12.8" hidden="false" customHeight="false" outlineLevel="0" collapsed="false">
      <c r="A15" s="38" t="s">
        <v>883</v>
      </c>
      <c r="B15" s="0" t="s">
        <v>748</v>
      </c>
      <c r="C15" s="0" t="str">
        <f aca="false">_xlfn.CONCAT("""",A15,"""",": " ,"""",B15,"""",",")</f>
        <v>"AG_Ammeter03_NA_A-0-100_ok": "AG_Ammeter03_AC_NA",</v>
      </c>
    </row>
    <row r="16" customFormat="false" ht="12.8" hidden="false" customHeight="false" outlineLevel="0" collapsed="false">
      <c r="A16" s="38" t="s">
        <v>884</v>
      </c>
      <c r="B16" s="0" t="s">
        <v>749</v>
      </c>
      <c r="C16" s="0" t="str">
        <f aca="false">_xlfn.CONCAT("""",A16,"""",": " ,"""",B16,"""",",")</f>
        <v>"AG_Ammeter04_NA_A-0-100_ok": "AG_Ammeter04_AC_NA",</v>
      </c>
    </row>
    <row r="17" customFormat="false" ht="12.8" hidden="false" customHeight="false" outlineLevel="0" collapsed="false">
      <c r="A17" s="0" t="s">
        <v>43</v>
      </c>
      <c r="B17" s="0" t="s">
        <v>766</v>
      </c>
      <c r="C17" s="0" t="str">
        <f aca="false">_xlfn.CONCAT("""",A17,"""",": " ,"""",B17,"""",",")</f>
        <v>"DG_Air-Conditioner": "DG_Temp_Air-Conditioner_NA",</v>
      </c>
    </row>
    <row r="18" customFormat="false" ht="12.8" hidden="false" customHeight="false" outlineLevel="0" collapsed="false">
      <c r="A18" s="0" t="s">
        <v>885</v>
      </c>
      <c r="B18" s="0" t="s">
        <v>772</v>
      </c>
      <c r="C18" s="0" t="str">
        <f aca="false">_xlfn.CONCAT("""",A18,"""",": " ,"""",B18,"""",",")</f>
        <v>"DG_Digital Multi Function Relay": "DG_VA_NA_NA",</v>
      </c>
    </row>
    <row r="19" customFormat="false" ht="12.8" hidden="false" customHeight="false" outlineLevel="0" collapsed="false">
      <c r="A19" s="0" t="s">
        <v>886</v>
      </c>
      <c r="B19" s="0" t="s">
        <v>887</v>
      </c>
      <c r="C19" s="0" t="str">
        <f aca="false">_xlfn.CONCAT("""",A19,"""",": " ,"""",B19,"""",",")</f>
        <v>"DG_Digital Meter": "DG_Current_NA_NA",</v>
      </c>
    </row>
    <row r="20" customFormat="false" ht="12.8" hidden="false" customHeight="false" outlineLevel="0" collapsed="false">
      <c r="A20" s="0" t="s">
        <v>343</v>
      </c>
      <c r="B20" s="0" t="s">
        <v>771</v>
      </c>
      <c r="C20" s="0" t="str">
        <f aca="false">_xlfn.CONCAT("""",A20,"""",": " ,"""",B20,"""",",")</f>
        <v>"DG_Gen-Status": "DG_VAP_Meter_NA",</v>
      </c>
    </row>
    <row r="21" customFormat="false" ht="12.8" hidden="false" customHeight="false" outlineLevel="0" collapsed="false">
      <c r="A21" s="0" t="s">
        <v>511</v>
      </c>
      <c r="B21" s="0" t="s">
        <v>774</v>
      </c>
      <c r="C21" s="0" t="str">
        <f aca="false">_xlfn.CONCAT("""",A21,"""",": " ,"""",B21,"""",",")</f>
        <v>"DG_Pump": "DG_Gen-Status_Alt-Eng_NA",</v>
      </c>
    </row>
    <row r="22" customFormat="false" ht="12.8" hidden="false" customHeight="false" outlineLevel="0" collapsed="false">
      <c r="A22" s="0" t="s">
        <v>888</v>
      </c>
      <c r="B22" s="0" t="s">
        <v>777</v>
      </c>
      <c r="C22" s="0" t="str">
        <f aca="false">_xlfn.CONCAT("""",A22,"""",": " ,"""",B22,"""",",")</f>
        <v>"DG_Electric Water Heater": "DG_Pump_ME_NA",</v>
      </c>
    </row>
    <row r="23" customFormat="false" ht="12.8" hidden="false" customHeight="false" outlineLevel="0" collapsed="false">
      <c r="A23" s="0" t="s">
        <v>485</v>
      </c>
      <c r="B23" s="0" t="s">
        <v>773</v>
      </c>
      <c r="C23" s="0" t="str">
        <f aca="false">_xlfn.CONCAT("""",A23,"""",": " ,"""",B23,"""",",")</f>
        <v>"DG_Boost-pump": "DG_Heater_Temp_NA",</v>
      </c>
    </row>
    <row r="24" customFormat="false" ht="12.8" hidden="false" customHeight="false" outlineLevel="0" collapsed="false">
      <c r="A24" s="0" t="s">
        <v>768</v>
      </c>
      <c r="B24" s="0" t="s">
        <v>767</v>
      </c>
      <c r="C24" s="0" t="str">
        <f aca="false">_xlfn.CONCAT("""",A24,"""",": " ,"""",B24,"""",",")</f>
        <v>"DG_Digital_Integrated_Meter": "DG_Boost-pump_bar_NA",</v>
      </c>
    </row>
    <row r="25" customFormat="false" ht="12.8" hidden="false" customHeight="false" outlineLevel="0" collapsed="false">
      <c r="A25" s="0" t="s">
        <v>780</v>
      </c>
      <c r="B25" s="0" t="s">
        <v>889</v>
      </c>
      <c r="C25" s="0" t="str">
        <f aca="false">_xlfn.CONCAT("""",A25,"""",": " ,"""",B25,"""",",")</f>
        <v>"DG_TR_temp": "DG_Pump_bar_NA",</v>
      </c>
    </row>
    <row r="26" customFormat="false" ht="12.8" hidden="false" customHeight="false" outlineLevel="0" collapsed="false">
      <c r="A26" s="0" t="s">
        <v>644</v>
      </c>
      <c r="B26" s="0" t="s">
        <v>778</v>
      </c>
      <c r="C26" s="0" t="str">
        <f aca="false">_xlfn.CONCAT("""",A26,"""",": " ,"""",B26,"""",",")</f>
        <v>"DG_Controller": "DG_Temp-Humi01_C-per_NA",</v>
      </c>
    </row>
    <row r="27" customFormat="false" ht="12.8" hidden="false" customHeight="false" outlineLevel="0" collapsed="false">
      <c r="A27" s="0" t="s">
        <v>890</v>
      </c>
      <c r="B27" s="0" t="s">
        <v>779</v>
      </c>
      <c r="C27" s="0" t="str">
        <f aca="false">_xlfn.CONCAT("""",A27,"""",": " ,"""",B27,"""",",")</f>
        <v>"DG_REC-KY-1500": "DG_Temp-Humi02_C-per_NA",</v>
      </c>
    </row>
    <row r="28" customFormat="false" ht="12.8" hidden="false" customHeight="false" outlineLevel="0" collapsed="false">
      <c r="A28" s="0" t="s">
        <v>327</v>
      </c>
      <c r="B28" s="0" t="s">
        <v>891</v>
      </c>
      <c r="C28" s="0" t="str">
        <f aca="false">_xlfn.CONCAT("""",A28,"""",": " ,"""",B28,"""",",")</f>
        <v>"DG_Thermo-hygro": "DG_DC-Volt_V_NA",</v>
      </c>
    </row>
    <row r="29" customFormat="false" ht="12.8" hidden="false" customHeight="false" outlineLevel="0" collapsed="false">
      <c r="A29" s="0" t="s">
        <v>784</v>
      </c>
      <c r="B29" s="0" t="s">
        <v>892</v>
      </c>
      <c r="C29" s="0" t="str">
        <f aca="false">_xlfn.CONCAT("""",A29,"""",": " ,"""",B29,"""",",")</f>
        <v>"DG_UPS_600KVA": "DG_TR-Temp_C_NA",</v>
      </c>
    </row>
    <row r="30" customFormat="false" ht="12.8" hidden="false" customHeight="false" outlineLevel="0" collapsed="false">
      <c r="A30" s="0" t="s">
        <v>327</v>
      </c>
      <c r="B30" s="0" t="s">
        <v>893</v>
      </c>
      <c r="C30" s="0" t="str">
        <f aca="false">_xlfn.CONCAT("""",A30,"""",": " ,"""",B30,"""",",")</f>
        <v>"DG_Thermo-hygro": "DG_ACV-DCV-OCA_V-V-A_NA",</v>
      </c>
    </row>
    <row r="31" customFormat="false" ht="12.8" hidden="false" customHeight="false" outlineLevel="0" collapsed="false">
      <c r="A31" s="0" t="s">
        <v>775</v>
      </c>
      <c r="B31" s="0" t="s">
        <v>783</v>
      </c>
      <c r="C31" s="0" t="str">
        <f aca="false">_xlfn.CONCAT("""",A31,"""",": " ,"""",B31,"""",",")</f>
        <v>"DG_PB_max": "DG_RST-RST_VVV-VVV-AAA_NA",</v>
      </c>
    </row>
    <row r="32" customFormat="false" ht="12.8" hidden="false" customHeight="false" outlineLevel="0" collapsed="false">
      <c r="A32" s="0" t="s">
        <v>782</v>
      </c>
      <c r="B32" s="0" t="s">
        <v>776</v>
      </c>
      <c r="C32" s="0" t="str">
        <f aca="false">_xlfn.CONCAT("""",A32,"""",": " ,"""",B32,"""",",")</f>
        <v>"DG_UPS_100KVA": "DG_PB-Demend_R_NA",</v>
      </c>
    </row>
    <row r="33" customFormat="false" ht="12.8" hidden="false" customHeight="false" outlineLevel="0" collapsed="false">
      <c r="A33" s="0" t="s">
        <v>59</v>
      </c>
      <c r="B33" s="0" t="s">
        <v>769</v>
      </c>
      <c r="C33" s="0" t="str">
        <f aca="false">_xlfn.CONCAT("""",A33,"""",": " ,"""",B33,"""",",")</f>
        <v>"DG_BMS": "DG_Va-Ia-P-UH_V-A-P-Mwh_NA",</v>
      </c>
    </row>
    <row r="34" customFormat="false" ht="12.8" hidden="false" customHeight="false" outlineLevel="0" collapsed="false">
      <c r="A34" s="39" t="s">
        <v>894</v>
      </c>
      <c r="B34" s="0" t="s">
        <v>894</v>
      </c>
      <c r="C34" s="0" t="str">
        <f aca="false">_xlfn.CONCAT("""",A34,"""",": " ,"""",B34,"""",",")</f>
        <v>"DG_Vab-bc-ca_kV_NA": "DG_Vab-bc-ca_kV_NA",</v>
      </c>
    </row>
    <row r="35" customFormat="false" ht="12.8" hidden="false" customHeight="false" outlineLevel="0" collapsed="false">
      <c r="A35" s="0" t="s">
        <v>793</v>
      </c>
      <c r="B35" s="0" t="s">
        <v>793</v>
      </c>
      <c r="C35" s="0" t="str">
        <f aca="false">_xlfn.CONCAT("""",A35,"""",": " ,"""",B35,"""",",")</f>
        <v>"LED_Green_off_nok": "LED_Green_off_nok",</v>
      </c>
    </row>
    <row r="36" customFormat="false" ht="12.8" hidden="false" customHeight="false" outlineLevel="0" collapsed="false">
      <c r="A36" s="0" t="s">
        <v>794</v>
      </c>
      <c r="B36" s="0" t="s">
        <v>794</v>
      </c>
      <c r="C36" s="0" t="str">
        <f aca="false">_xlfn.CONCAT("""",A36,"""",": " ,"""",B36,"""",",")</f>
        <v>"LED_Green_off_ok": "LED_Green_off_ok",</v>
      </c>
    </row>
    <row r="37" customFormat="false" ht="12.8" hidden="false" customHeight="false" outlineLevel="0" collapsed="false">
      <c r="A37" s="0" t="s">
        <v>796</v>
      </c>
      <c r="B37" s="0" t="s">
        <v>795</v>
      </c>
      <c r="C37" s="0" t="str">
        <f aca="false">_xlfn.CONCAT("""",A37,"""",": " ,"""",B37,"""",",")</f>
        <v>"LED_Green_on_ok": "LED_Green_on_nok",</v>
      </c>
    </row>
    <row r="38" customFormat="false" ht="12.8" hidden="false" customHeight="false" outlineLevel="0" collapsed="false">
      <c r="B38" s="0" t="s">
        <v>796</v>
      </c>
      <c r="C38" s="0" t="str">
        <f aca="false">_xlfn.CONCAT("""",A38,"""",": " ,"""",B38,"""",",")</f>
        <v>"": "LED_Green_on_ok",</v>
      </c>
    </row>
    <row r="39" customFormat="false" ht="12.8" hidden="false" customHeight="false" outlineLevel="0" collapsed="false">
      <c r="A39" s="0" t="s">
        <v>797</v>
      </c>
      <c r="B39" s="0" t="s">
        <v>797</v>
      </c>
      <c r="C39" s="0" t="str">
        <f aca="false">_xlfn.CONCAT("""",A39,"""",": " ,"""",B39,"""",",")</f>
        <v>"LED_Green-dot_off_nok": "LED_Green-dot_off_nok",</v>
      </c>
    </row>
    <row r="40" customFormat="false" ht="12.8" hidden="false" customHeight="false" outlineLevel="0" collapsed="false">
      <c r="B40" s="0" t="s">
        <v>798</v>
      </c>
      <c r="C40" s="0" t="str">
        <f aca="false">_xlfn.CONCAT("""",A40,"""",": " ,"""",B40,"""",",")</f>
        <v>"": "LED_Green-dot_off_ok",</v>
      </c>
    </row>
    <row r="41" customFormat="false" ht="12.8" hidden="false" customHeight="false" outlineLevel="0" collapsed="false">
      <c r="A41" s="0" t="s">
        <v>801</v>
      </c>
      <c r="B41" s="0" t="s">
        <v>801</v>
      </c>
      <c r="C41" s="0" t="str">
        <f aca="false">_xlfn.CONCAT("""",A41,"""",": " ,"""",B41,"""",",")</f>
        <v>"LED_Green-dot_on_nok": "LED_Green-dot_on_nok",</v>
      </c>
    </row>
    <row r="42" customFormat="false" ht="12.8" hidden="false" customHeight="false" outlineLevel="0" collapsed="false">
      <c r="A42" s="0" t="s">
        <v>800</v>
      </c>
      <c r="B42" s="0" t="s">
        <v>800</v>
      </c>
      <c r="C42" s="0" t="str">
        <f aca="false">_xlfn.CONCAT("""",A42,"""",": " ,"""",B42,"""",",")</f>
        <v>"LED_Green-dot_on_ok": "LED_Green-dot_on_ok",</v>
      </c>
    </row>
    <row r="43" customFormat="false" ht="12.8" hidden="false" customHeight="false" outlineLevel="0" collapsed="false">
      <c r="A43" s="0" t="s">
        <v>821</v>
      </c>
      <c r="B43" s="0" t="s">
        <v>820</v>
      </c>
      <c r="C43" s="0" t="str">
        <f aca="false">_xlfn.CONCAT("""",A43,"""",": " ,"""",B43,"""",",")</f>
        <v>"LED_Red_off_ok": "LED_Red_off_nok",</v>
      </c>
    </row>
    <row r="44" customFormat="false" ht="12.8" hidden="false" customHeight="false" outlineLevel="0" collapsed="false">
      <c r="A44" s="0" t="s">
        <v>820</v>
      </c>
      <c r="B44" s="0" t="s">
        <v>821</v>
      </c>
      <c r="C44" s="0" t="str">
        <f aca="false">_xlfn.CONCAT("""",A44,"""",": " ,"""",B44,"""",",")</f>
        <v>"LED_Red_off_nok": "LED_Red_off_ok",</v>
      </c>
    </row>
    <row r="45" customFormat="false" ht="12.8" hidden="false" customHeight="false" outlineLevel="0" collapsed="false">
      <c r="A45" s="0" t="s">
        <v>823</v>
      </c>
      <c r="B45" s="0" t="s">
        <v>824</v>
      </c>
      <c r="C45" s="0" t="str">
        <f aca="false">_xlfn.CONCAT("""",A45,"""",": " ,"""",B45,"""",",")</f>
        <v>"LED_Red_on_ok": "LED_Red_on_nok",</v>
      </c>
    </row>
    <row r="46" customFormat="false" ht="12.8" hidden="false" customHeight="false" outlineLevel="0" collapsed="false">
      <c r="A46" s="0" t="s">
        <v>824</v>
      </c>
      <c r="B46" s="0" t="s">
        <v>823</v>
      </c>
      <c r="C46" s="0" t="str">
        <f aca="false">_xlfn.CONCAT("""",A46,"""",": " ,"""",B46,"""",",")</f>
        <v>"LED_Red_on_nok": "LED_Red_on_ok",</v>
      </c>
    </row>
    <row r="47" customFormat="false" ht="12.8" hidden="false" customHeight="false" outlineLevel="0" collapsed="false">
      <c r="A47" s="0" t="s">
        <v>825</v>
      </c>
      <c r="B47" s="0" t="s">
        <v>825</v>
      </c>
      <c r="C47" s="0" t="str">
        <f aca="false">_xlfn.CONCAT("""",A47,"""",": " ,"""",B47,"""",",")</f>
        <v>"LED_Red-dot_off_nok": "LED_Red-dot_off_nok",</v>
      </c>
    </row>
    <row r="48" customFormat="false" ht="12.8" hidden="false" customHeight="false" outlineLevel="0" collapsed="false">
      <c r="A48" s="39" t="s">
        <v>826</v>
      </c>
      <c r="B48" s="0" t="s">
        <v>826</v>
      </c>
      <c r="C48" s="0" t="str">
        <f aca="false">_xlfn.CONCAT("""",A48,"""",": " ,"""",B48,"""",",")</f>
        <v>"LED_Red-dot_off_ok": "LED_Red-dot_off_ok",</v>
      </c>
    </row>
    <row r="49" customFormat="false" ht="12.8" hidden="false" customHeight="false" outlineLevel="0" collapsed="false">
      <c r="A49" s="39" t="s">
        <v>829</v>
      </c>
      <c r="B49" s="0" t="s">
        <v>829</v>
      </c>
      <c r="C49" s="0" t="str">
        <f aca="false">_xlfn.CONCAT("""",A49,"""",": " ,"""",B49,"""",",")</f>
        <v>"LED_Red-dot_on_nok": "LED_Red-dot_on_nok",</v>
      </c>
    </row>
    <row r="50" customFormat="false" ht="12.8" hidden="false" customHeight="false" outlineLevel="0" collapsed="false">
      <c r="A50" s="0" t="s">
        <v>828</v>
      </c>
      <c r="B50" s="0" t="s">
        <v>828</v>
      </c>
      <c r="C50" s="0" t="str">
        <f aca="false">_xlfn.CONCAT("""",A50,"""",": " ,"""",B50,"""",",")</f>
        <v>"LED_Red-dot_on_ok": "LED_Red-dot_on_ok",</v>
      </c>
    </row>
    <row r="51" customFormat="false" ht="12.8" hidden="false" customHeight="false" outlineLevel="0" collapsed="false">
      <c r="A51" s="0" t="s">
        <v>830</v>
      </c>
      <c r="B51" s="0" t="s">
        <v>830</v>
      </c>
      <c r="C51" s="0" t="str">
        <f aca="false">_xlfn.CONCAT("""",A51,"""",": " ,"""",B51,"""",",")</f>
        <v>"LED_Yellow_off_ok": "LED_Yellow_off_ok",</v>
      </c>
    </row>
    <row r="52" customFormat="false" ht="12.8" hidden="false" customHeight="false" outlineLevel="0" collapsed="false">
      <c r="A52" s="0" t="s">
        <v>833</v>
      </c>
      <c r="B52" s="0" t="s">
        <v>831</v>
      </c>
      <c r="C52" s="0" t="str">
        <f aca="false">_xlfn.CONCAT("""",A52,"""",": " ,"""",B52,"""",",")</f>
        <v>"LED_Yellow_on_nok": "LED_Yellow_off_nok",</v>
      </c>
    </row>
    <row r="53" customFormat="false" ht="12.8" hidden="false" customHeight="false" outlineLevel="0" collapsed="false">
      <c r="A53" s="0" t="s">
        <v>810</v>
      </c>
      <c r="B53" s="0" t="s">
        <v>810</v>
      </c>
      <c r="C53" s="0" t="str">
        <f aca="false">_xlfn.CONCAT("""",A53,"""",": " ,"""",B53,"""",",")</f>
        <v>"LED_Panel-green-dot_off_ok": "LED_Panel-green-dot_off_ok",</v>
      </c>
    </row>
    <row r="54" customFormat="false" ht="12.8" hidden="false" customHeight="false" outlineLevel="0" collapsed="false">
      <c r="A54" s="0" t="s">
        <v>807</v>
      </c>
      <c r="B54" s="0" t="s">
        <v>811</v>
      </c>
      <c r="C54" s="0" t="str">
        <f aca="false">_xlfn.CONCAT("""",A54,"""",": " ,"""",B54,"""",",")</f>
        <v>"LED_Panel-green-dot_on_nok": "LED_Panel-red-dot_on_ok",</v>
      </c>
    </row>
    <row r="55" customFormat="false" ht="12.8" hidden="false" customHeight="false" outlineLevel="0" collapsed="false">
      <c r="A55" s="0" t="s">
        <v>811</v>
      </c>
      <c r="B55" s="0" t="s">
        <v>809</v>
      </c>
      <c r="C55" s="0" t="str">
        <f aca="false">_xlfn.CONCAT("""",A55,"""",": " ,"""",B55,"""",",")</f>
        <v>"LED_Panel-red-dot_on_ok": "LED_Panel-green-dot_off_nok",</v>
      </c>
    </row>
    <row r="56" customFormat="false" ht="12.8" hidden="false" customHeight="false" outlineLevel="0" collapsed="false">
      <c r="A56" s="0" t="s">
        <v>814</v>
      </c>
      <c r="B56" s="0" t="s">
        <v>812</v>
      </c>
      <c r="C56" s="0" t="str">
        <f aca="false">_xlfn.CONCAT("""",A56,"""",": " ,"""",B56,"""",",")</f>
        <v>"LED_Panel-red-dot_off_nok": "LED_Panel-red-dot_on_nok",</v>
      </c>
    </row>
    <row r="57" customFormat="false" ht="12.8" hidden="false" customHeight="false" outlineLevel="0" collapsed="false">
      <c r="A57" s="0" t="s">
        <v>802</v>
      </c>
      <c r="B57" s="0" t="s">
        <v>802</v>
      </c>
      <c r="C57" s="0" t="str">
        <f aca="false">_xlfn.CONCAT("""",A57,"""",": " ,"""",B57,"""",",")</f>
        <v>"LED_Panel_off_ok": "LED_Panel_off_ok",</v>
      </c>
    </row>
    <row r="58" customFormat="false" ht="12.8" hidden="false" customHeight="false" outlineLevel="0" collapsed="false">
      <c r="A58" s="0" t="s">
        <v>804</v>
      </c>
      <c r="B58" s="0" t="s">
        <v>804</v>
      </c>
      <c r="C58" s="0" t="str">
        <f aca="false">_xlfn.CONCAT("""",A58,"""",": " ,"""",B58,"""",",")</f>
        <v>"LED_Panel_on_ok": "LED_Panel_on_ok",</v>
      </c>
    </row>
    <row r="59" customFormat="false" ht="12.8" hidden="false" customHeight="false" outlineLevel="0" collapsed="false">
      <c r="A59" s="0" t="s">
        <v>803</v>
      </c>
      <c r="B59" s="0" t="s">
        <v>803</v>
      </c>
      <c r="C59" s="0" t="str">
        <f aca="false">_xlfn.CONCAT("""",A59,"""",": " ,"""",B59,"""",",")</f>
        <v>"LED_Panel_off_nok": "LED_Panel_off_nok",</v>
      </c>
    </row>
    <row r="60" customFormat="false" ht="12.8" hidden="false" customHeight="false" outlineLevel="0" collapsed="false">
      <c r="A60" s="0" t="s">
        <v>805</v>
      </c>
      <c r="B60" s="0" t="s">
        <v>805</v>
      </c>
      <c r="C60" s="0" t="str">
        <f aca="false">_xlfn.CONCAT("""",A60,"""",": " ,"""",B60,"""",",")</f>
        <v>"LED_Panel_on_nok": "LED_Panel_on_nok",</v>
      </c>
    </row>
    <row r="61" customFormat="false" ht="12.8" hidden="false" customHeight="false" outlineLevel="0" collapsed="false">
      <c r="A61" s="0" t="s">
        <v>816</v>
      </c>
      <c r="B61" s="0" t="s">
        <v>816</v>
      </c>
      <c r="C61" s="0" t="str">
        <f aca="false">_xlfn.CONCAT("""",A61,"""",": " ,"""",B61,"""",",")</f>
        <v>"LED_PD_on_ok": "LED_PD_on_ok",</v>
      </c>
    </row>
    <row r="62" customFormat="false" ht="12.8" hidden="false" customHeight="false" outlineLevel="0" collapsed="false">
      <c r="A62" s="0" t="s">
        <v>819</v>
      </c>
      <c r="B62" s="0" t="s">
        <v>817</v>
      </c>
      <c r="C62" s="0" t="str">
        <f aca="false">_xlfn.CONCAT("""",A62,"""",": " ,"""",B62,"""",",")</f>
        <v>"LED_PD_off_nok": "LED_PD_on_nok",</v>
      </c>
    </row>
    <row r="63" customFormat="false" ht="15" hidden="false" customHeight="false" outlineLevel="0" collapsed="false">
      <c r="A63" s="40" t="s">
        <v>895</v>
      </c>
      <c r="B63" s="0" t="s">
        <v>789</v>
      </c>
      <c r="C63" s="0" t="str">
        <f aca="false">_xlfn.CONCAT("""",A63,"""",": " ,"""",B63,"""",",")</f>
        <v>"LED_DMFR_run-on_ok": "LED_Leakage_Green-on_ok",</v>
      </c>
    </row>
    <row r="64" customFormat="false" ht="12.8" hidden="false" customHeight="false" outlineLevel="0" collapsed="false">
      <c r="A64" s="0" t="s">
        <v>791</v>
      </c>
      <c r="B64" s="0" t="s">
        <v>791</v>
      </c>
      <c r="C64" s="0" t="str">
        <f aca="false">_xlfn.CONCAT("""",A64,"""",": " ,"""",B64,"""",",")</f>
        <v>"LED_DMFR_Run-on_ok": "LED_DMFR_Run-on_ok",</v>
      </c>
    </row>
    <row r="65" customFormat="false" ht="12.8" hidden="false" customHeight="false" outlineLevel="0" collapsed="false">
      <c r="A65" s="0" t="s">
        <v>896</v>
      </c>
      <c r="B65" s="39" t="s">
        <v>897</v>
      </c>
      <c r="C65" s="0" t="str">
        <f aca="false">_xlfn.CONCAT("""",A65,"""",": " ,"""",B65,"""",",")</f>
        <v>"LED_DMFR_run-off_nok": "LED_PD-Detector_off_ok",</v>
      </c>
    </row>
    <row r="66" customFormat="false" ht="12.8" hidden="false" customHeight="false" outlineLevel="0" collapsed="false">
      <c r="A66" s="0" t="s">
        <v>898</v>
      </c>
      <c r="B66" s="39" t="s">
        <v>897</v>
      </c>
      <c r="C66" s="0" t="str">
        <f aca="false">_xlfn.CONCAT("""",A66,"""",": " ,"""",B66,"""",",")</f>
        <v>"LED_DELD_PAB-on_ok": "LED_PD-Detector_off_ok",</v>
      </c>
    </row>
    <row r="67" customFormat="false" ht="12.8" hidden="false" customHeight="false" outlineLevel="0" collapsed="false">
      <c r="A67" s="0" t="s">
        <v>899</v>
      </c>
      <c r="B67" s="39" t="s">
        <v>897</v>
      </c>
      <c r="C67" s="0" t="str">
        <f aca="false">_xlfn.CONCAT("""",A67,"""",": " ,"""",B67,"""",",")</f>
        <v>"LED_DELD_PAB-off_nok": "LED_PD-Detector_off_ok",</v>
      </c>
    </row>
    <row r="68" customFormat="false" ht="12.8" hidden="false" customHeight="false" outlineLevel="0" collapsed="false">
      <c r="A68" s="0" t="s">
        <v>274</v>
      </c>
      <c r="B68" s="39" t="s">
        <v>897</v>
      </c>
      <c r="C68" s="0" t="str">
        <f aca="false">_xlfn.CONCAT("""",A68,"""",": " ,"""",B68,"""",",")</f>
        <v>"LED_Controller_ok": "LED_PD-Detector_off_ok",</v>
      </c>
    </row>
    <row r="69" customFormat="false" ht="12.8" hidden="false" customHeight="false" outlineLevel="0" collapsed="false">
      <c r="A69" s="0" t="s">
        <v>842</v>
      </c>
      <c r="B69" s="0" t="s">
        <v>842</v>
      </c>
      <c r="C69" s="0" t="str">
        <f aca="false">_xlfn.CONCAT("""",A69,"""",": " ,"""",B69,"""",",")</f>
        <v>"Sw_Nobe-dot_Left_ok": "Sw_Nobe-dot_Left_ok",</v>
      </c>
    </row>
    <row r="70" customFormat="false" ht="12.8" hidden="false" customHeight="false" outlineLevel="0" collapsed="false">
      <c r="A70" s="0" t="s">
        <v>840</v>
      </c>
      <c r="B70" s="0" t="s">
        <v>840</v>
      </c>
      <c r="C70" s="0" t="str">
        <f aca="false">_xlfn.CONCAT("""",A70,"""",": " ,"""",B70,"""",",")</f>
        <v>"Sw_Nobe-dot_Center_ok": "Sw_Nobe-dot_Center_ok",</v>
      </c>
    </row>
    <row r="71" customFormat="false" ht="12.8" hidden="false" customHeight="false" outlineLevel="0" collapsed="false">
      <c r="A71" s="0" t="s">
        <v>844</v>
      </c>
      <c r="B71" s="0" t="s">
        <v>844</v>
      </c>
      <c r="C71" s="0" t="str">
        <f aca="false">_xlfn.CONCAT("""",A71,"""",": " ,"""",B71,"""",",")</f>
        <v>"Sw_Nobe-dot_Right_ok": "Sw_Nobe-dot_Right_ok",</v>
      </c>
    </row>
    <row r="72" customFormat="false" ht="12.8" hidden="false" customHeight="false" outlineLevel="0" collapsed="false">
      <c r="A72" s="0" t="s">
        <v>843</v>
      </c>
      <c r="B72" s="0" t="s">
        <v>843</v>
      </c>
      <c r="C72" s="0" t="str">
        <f aca="false">_xlfn.CONCAT("""",A72,"""",": " ,"""",B72,"""",",")</f>
        <v>"Sw_Nobe-dot_Left_nok": "Sw_Nobe-dot_Left_nok",</v>
      </c>
    </row>
    <row r="73" customFormat="false" ht="12.8" hidden="false" customHeight="false" outlineLevel="0" collapsed="false">
      <c r="A73" s="0" t="s">
        <v>841</v>
      </c>
      <c r="B73" s="0" t="s">
        <v>841</v>
      </c>
      <c r="C73" s="0" t="str">
        <f aca="false">_xlfn.CONCAT("""",A73,"""",": " ,"""",B73,"""",",")</f>
        <v>"Sw_Nobe-dot_Center_nok": "Sw_Nobe-dot_Center_nok",</v>
      </c>
    </row>
    <row r="74" customFormat="false" ht="12.8" hidden="false" customHeight="false" outlineLevel="0" collapsed="false">
      <c r="A74" s="0" t="s">
        <v>845</v>
      </c>
      <c r="B74" s="0" t="s">
        <v>845</v>
      </c>
      <c r="C74" s="0" t="str">
        <f aca="false">_xlfn.CONCAT("""",A74,"""",": " ,"""",B74,"""",",")</f>
        <v>"Sw_Nobe-dot_Right_nok": "Sw_Nobe-dot_Right_nok",</v>
      </c>
    </row>
    <row r="75" customFormat="false" ht="12.8" hidden="false" customHeight="false" outlineLevel="0" collapsed="false">
      <c r="A75" s="0" t="s">
        <v>836</v>
      </c>
      <c r="B75" s="0" t="s">
        <v>836</v>
      </c>
      <c r="C75" s="0" t="str">
        <f aca="false">_xlfn.CONCAT("""",A75,"""",": " ,"""",B75,"""",",")</f>
        <v>"Sw_Nobe_Left_ok": "Sw_Nobe_Left_ok",</v>
      </c>
    </row>
    <row r="76" customFormat="false" ht="12.8" hidden="false" customHeight="false" outlineLevel="0" collapsed="false">
      <c r="A76" s="0" t="s">
        <v>834</v>
      </c>
      <c r="B76" s="0" t="s">
        <v>834</v>
      </c>
      <c r="C76" s="0" t="str">
        <f aca="false">_xlfn.CONCAT("""",A76,"""",": " ,"""",B76,"""",",")</f>
        <v>"Sw_Nobe_Center_ok": "Sw_Nobe_Center_ok",</v>
      </c>
    </row>
    <row r="77" customFormat="false" ht="12.8" hidden="false" customHeight="false" outlineLevel="0" collapsed="false">
      <c r="A77" s="0" t="s">
        <v>838</v>
      </c>
      <c r="B77" s="0" t="s">
        <v>838</v>
      </c>
      <c r="C77" s="0" t="str">
        <f aca="false">_xlfn.CONCAT("""",A77,"""",": " ,"""",B77,"""",",")</f>
        <v>"Sw_Nobe_Right_ok": "Sw_Nobe_Right_ok",</v>
      </c>
    </row>
    <row r="78" customFormat="false" ht="12.8" hidden="false" customHeight="false" outlineLevel="0" collapsed="false">
      <c r="A78" s="0" t="s">
        <v>837</v>
      </c>
      <c r="B78" s="0" t="s">
        <v>837</v>
      </c>
      <c r="C78" s="0" t="str">
        <f aca="false">_xlfn.CONCAT("""",A78,"""",": " ,"""",B78,"""",",")</f>
        <v>"Sw_Nobe_Left_nok": "Sw_Nobe_Left_nok",</v>
      </c>
    </row>
    <row r="79" customFormat="false" ht="12.8" hidden="false" customHeight="false" outlineLevel="0" collapsed="false">
      <c r="A79" s="0" t="s">
        <v>835</v>
      </c>
      <c r="B79" s="0" t="s">
        <v>835</v>
      </c>
      <c r="C79" s="0" t="str">
        <f aca="false">_xlfn.CONCAT("""",A79,"""",": " ,"""",B79,"""",",")</f>
        <v>"Sw_Nobe_Center_nok": "Sw_Nobe_Center_nok",</v>
      </c>
    </row>
    <row r="80" customFormat="false" ht="12.8" hidden="false" customHeight="false" outlineLevel="0" collapsed="false">
      <c r="A80" s="0" t="s">
        <v>839</v>
      </c>
      <c r="B80" s="0" t="s">
        <v>839</v>
      </c>
      <c r="C80" s="0" t="str">
        <f aca="false">_xlfn.CONCAT("""",A80,"""",": " ,"""",B80,"""",",")</f>
        <v>"Sw_Nobe_Right_nok": "Sw_Nobe_Right_nok",</v>
      </c>
    </row>
    <row r="81" customFormat="false" ht="12.8" hidden="false" customHeight="false" outlineLevel="0" collapsed="false">
      <c r="A81" s="0" t="s">
        <v>847</v>
      </c>
      <c r="B81" s="0" t="s">
        <v>847</v>
      </c>
      <c r="C81" s="0" t="str">
        <f aca="false">_xlfn.CONCAT("""",A81,"""",": " ,"""",B81,"""",",")</f>
        <v>"Sw_Pump_Left_ok": "Sw_Pump_Left_ok",</v>
      </c>
    </row>
    <row r="82" customFormat="false" ht="12.8" hidden="false" customHeight="false" outlineLevel="0" collapsed="false">
      <c r="A82" s="0" t="s">
        <v>846</v>
      </c>
      <c r="B82" s="0" t="s">
        <v>846</v>
      </c>
      <c r="C82" s="0" t="str">
        <f aca="false">_xlfn.CONCAT("""",A82,"""",": " ,"""",B82,"""",",")</f>
        <v>"Sw_Pump_Center_ok": "Sw_Pump_Center_ok",</v>
      </c>
    </row>
    <row r="83" customFormat="false" ht="12.8" hidden="false" customHeight="false" outlineLevel="0" collapsed="false">
      <c r="A83" s="0" t="s">
        <v>849</v>
      </c>
      <c r="B83" s="0" t="s">
        <v>849</v>
      </c>
      <c r="C83" s="0" t="str">
        <f aca="false">_xlfn.CONCAT("""",A83,"""",": " ,"""",B83,"""",",")</f>
        <v>"Sw_Pump_Right_ok": "Sw_Pump_Right_ok",</v>
      </c>
    </row>
    <row r="84" customFormat="false" ht="12.8" hidden="false" customHeight="false" outlineLevel="0" collapsed="false">
      <c r="A84" s="0" t="s">
        <v>862</v>
      </c>
      <c r="B84" s="0" t="s">
        <v>862</v>
      </c>
      <c r="C84" s="0" t="str">
        <f aca="false">_xlfn.CONCAT("""",A84,"""",": " ,"""",B84,"""",",")</f>
        <v>"Sw_Round-dot_Left_nok": "Sw_Round-dot_Left_nok",</v>
      </c>
    </row>
    <row r="85" customFormat="false" ht="12.8" hidden="false" customHeight="false" outlineLevel="0" collapsed="false">
      <c r="A85" s="0" t="s">
        <v>860</v>
      </c>
      <c r="B85" s="0" t="s">
        <v>860</v>
      </c>
      <c r="C85" s="0" t="str">
        <f aca="false">_xlfn.CONCAT("""",A85,"""",": " ,"""",B85,"""",",")</f>
        <v>"Sw_Round-dot_Center_nok": "Sw_Round-dot_Center_nok",</v>
      </c>
    </row>
    <row r="86" customFormat="false" ht="12.8" hidden="false" customHeight="false" outlineLevel="0" collapsed="false">
      <c r="A86" s="0" t="s">
        <v>864</v>
      </c>
      <c r="B86" s="0" t="s">
        <v>864</v>
      </c>
      <c r="C86" s="0" t="str">
        <f aca="false">_xlfn.CONCAT("""",A86,"""",": " ,"""",B86,"""",",")</f>
        <v>"Sw_Round-dot_Right_nok": "Sw_Round-dot_Right_nok",</v>
      </c>
    </row>
    <row r="87" customFormat="false" ht="12.8" hidden="false" customHeight="false" outlineLevel="0" collapsed="false">
      <c r="A87" s="0" t="s">
        <v>854</v>
      </c>
      <c r="B87" s="0" t="s">
        <v>854</v>
      </c>
      <c r="C87" s="0" t="str">
        <f aca="false">_xlfn.CONCAT("""",A87,"""",": " ,"""",B87,"""",",")</f>
        <v>"Sw_Round_Left_ok": "Sw_Round_Left_ok",</v>
      </c>
    </row>
    <row r="88" customFormat="false" ht="12.8" hidden="false" customHeight="false" outlineLevel="0" collapsed="false">
      <c r="A88" s="0" t="s">
        <v>851</v>
      </c>
      <c r="B88" s="0" t="s">
        <v>851</v>
      </c>
      <c r="C88" s="0" t="str">
        <f aca="false">_xlfn.CONCAT("""",A88,"""",": " ,"""",B88,"""",",")</f>
        <v>"Sw_Round_Center_ok": "Sw_Round_Center_ok",</v>
      </c>
    </row>
    <row r="89" customFormat="false" ht="12.8" hidden="false" customHeight="false" outlineLevel="0" collapsed="false">
      <c r="A89" s="0" t="s">
        <v>857</v>
      </c>
      <c r="B89" s="0" t="s">
        <v>857</v>
      </c>
      <c r="C89" s="0" t="str">
        <f aca="false">_xlfn.CONCAT("""",A89,"""",": " ,"""",B89,"""",",")</f>
        <v>"Sw_Round_Right_ok": "Sw_Round_Right_ok",</v>
      </c>
    </row>
    <row r="90" customFormat="false" ht="12.8" hidden="false" customHeight="false" outlineLevel="0" collapsed="false">
      <c r="A90" s="0" t="s">
        <v>855</v>
      </c>
      <c r="B90" s="0" t="s">
        <v>855</v>
      </c>
      <c r="C90" s="0" t="str">
        <f aca="false">_xlfn.CONCAT("""",A90,"""",": " ,"""",B90,"""",",")</f>
        <v>"Sw_Round_Left_nok": "Sw_Round_Left_nok",</v>
      </c>
    </row>
    <row r="91" customFormat="false" ht="12.8" hidden="false" customHeight="false" outlineLevel="0" collapsed="false">
      <c r="A91" s="0" t="s">
        <v>852</v>
      </c>
      <c r="B91" s="0" t="s">
        <v>852</v>
      </c>
      <c r="C91" s="0" t="str">
        <f aca="false">_xlfn.CONCAT("""",A91,"""",": " ,"""",B91,"""",",")</f>
        <v>"Sw_Round_Center_nok": "Sw_Round_Center_nok",</v>
      </c>
    </row>
    <row r="92" customFormat="false" ht="12.8" hidden="false" customHeight="false" outlineLevel="0" collapsed="false">
      <c r="A92" s="0" t="s">
        <v>858</v>
      </c>
      <c r="B92" s="0" t="s">
        <v>858</v>
      </c>
      <c r="C92" s="0" t="str">
        <f aca="false">_xlfn.CONCAT("""",A92,"""",": " ,"""",B92,"""",",")</f>
        <v>"Sw_Round_Right_nok": "Sw_Round_Right_nok",</v>
      </c>
    </row>
    <row r="93" customFormat="false" ht="12.8" hidden="false" customHeight="false" outlineLevel="0" collapsed="false">
      <c r="A93" s="41" t="s">
        <v>900</v>
      </c>
      <c r="B93" s="0" t="s">
        <v>865</v>
      </c>
      <c r="C93" s="0" t="str">
        <f aca="false">_xlfn.CONCAT("""",A93,"""",": " ,"""",B93,"""",",")</f>
        <v>"Sw_Valve_Closed_ok": "Valve_Valve_Closed_ok",</v>
      </c>
    </row>
    <row r="94" customFormat="false" ht="12.8" hidden="false" customHeight="false" outlineLevel="0" collapsed="false">
      <c r="A94" s="41" t="s">
        <v>901</v>
      </c>
      <c r="B94" s="0" t="s">
        <v>866</v>
      </c>
      <c r="C94" s="0" t="str">
        <f aca="false">_xlfn.CONCAT("""",A94,"""",": " ,"""",B94,"""",",")</f>
        <v>"Sw_Valve_Opened_ok": "Valve_Valve_Opened_ok",</v>
      </c>
    </row>
    <row r="95" customFormat="false" ht="12.8" hidden="false" customHeight="false" outlineLevel="0" collapsed="false">
      <c r="A95" s="0" t="s">
        <v>624</v>
      </c>
      <c r="B95" s="0" t="s">
        <v>624</v>
      </c>
      <c r="C95" s="0" t="str">
        <f aca="false">_xlfn.CONCAT("""",A95,"""",": " ,"""",B95,"""",",")</f>
        <v>"Etc_Fire_Extinguisher_NA": "Etc_Fire_Extinguisher_NA",</v>
      </c>
    </row>
    <row r="96" customFormat="false" ht="12.8" hidden="false" customHeight="false" outlineLevel="0" collapsed="false">
      <c r="A96" s="0" t="s">
        <v>625</v>
      </c>
      <c r="B96" s="0" t="s">
        <v>625</v>
      </c>
      <c r="C96" s="0" t="str">
        <f aca="false">_xlfn.CONCAT("""",A96,"""",": " ,"""",B96,"""",",")</f>
        <v>"Etc_Fire_Hydrant-sign_NA": "Etc_Fire_Hydrant-sign_NA",</v>
      </c>
    </row>
    <row r="97" customFormat="false" ht="12.8" hidden="false" customHeight="false" outlineLevel="0" collapsed="false">
      <c r="A97" s="0" t="s">
        <v>787</v>
      </c>
      <c r="B97" s="0" t="s">
        <v>787</v>
      </c>
      <c r="C97" s="0" t="str">
        <f aca="false">_xlfn.CONCAT("""",A97,"""",": " ,"""",B97,"""",",")</f>
        <v>"Etc_Outlet_No-plug_ok": "Etc_Outlet_No-plug_ok",</v>
      </c>
    </row>
    <row r="98" customFormat="false" ht="12.8" hidden="false" customHeight="false" outlineLevel="0" collapsed="false">
      <c r="A98" s="0" t="s">
        <v>762</v>
      </c>
      <c r="B98" s="0" t="s">
        <v>762</v>
      </c>
      <c r="C98" s="0" t="str">
        <f aca="false">_xlfn.CONCAT("""",A98,"""",": " ,"""",B98,"""",",")</f>
        <v>"Class_C-Duct_Clean_ok": "Class_C-Duct_Clean_ok",</v>
      </c>
    </row>
    <row r="99" customFormat="false" ht="12.8" hidden="false" customHeight="false" outlineLevel="0" collapsed="false">
      <c r="A99" s="0" t="s">
        <v>765</v>
      </c>
      <c r="B99" s="0" t="s">
        <v>765</v>
      </c>
      <c r="C99" s="0" t="str">
        <f aca="false">_xlfn.CONCAT("""",A99,"""",": " ,"""",B99,"""",",")</f>
        <v>"Class_W-Tank_Gauge_ok": "Class_W-Tank_Gauge_ok",</v>
      </c>
    </row>
    <row r="100" customFormat="false" ht="12.8" hidden="false" customHeight="false" outlineLevel="0" collapsed="false">
      <c r="A100" s="0" t="s">
        <v>763</v>
      </c>
      <c r="B100" s="0" t="s">
        <v>763</v>
      </c>
      <c r="C100" s="0" t="str">
        <f aca="false">_xlfn.CONCAT("""",A100,"""",": " ,"""",B100,"""",",")</f>
        <v>"Class_D-Gen_No-oil_ok": "Class_D-Gen_No-oil_ok",</v>
      </c>
    </row>
    <row r="101" customFormat="false" ht="12.8" hidden="false" customHeight="false" outlineLevel="0" collapsed="false">
      <c r="A101" s="0" t="s">
        <v>764</v>
      </c>
      <c r="B101" s="0" t="s">
        <v>764</v>
      </c>
      <c r="C101" s="0" t="str">
        <f aca="false">_xlfn.CONCAT("""",A101,"""",": " ,"""",B101,"""",",")</f>
        <v>"Class_Plumb_Clean_ok": "Class_Plumb_Clean_ok",</v>
      </c>
    </row>
    <row r="102" customFormat="false" ht="12.8" hidden="false" customHeight="false" outlineLevel="0" collapsed="false">
      <c r="A102" s="0" t="s">
        <v>725</v>
      </c>
      <c r="B102" s="0" t="s">
        <v>725</v>
      </c>
      <c r="C102" s="0" t="str">
        <f aca="false">_xlfn.CONCAT("""",A102,"""",": " ,"""",B102,"""",",")</f>
        <v>"Class_W-Drains_Clean_ok": "Class_W-Drains_Clean_ok",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2025-11-10T04:13:42Z</dcterms:created>
  <dc:creator>2g1</dc:creator>
  <dc:description/>
  <dc:language>en-US</dc:language>
  <cp:lastModifiedBy/>
  <dcterms:modified xsi:type="dcterms:W3CDTF">2026-01-13T09:54:38Z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